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4240" windowHeight="12105"/>
  </bookViews>
  <sheets>
    <sheet name="BOOK" sheetId="1" r:id="rId1"/>
    <sheet name="BOOK (2)" sheetId="4" r:id="rId2"/>
    <sheet name="Feuil4" sheetId="5" r:id="rId3"/>
  </sheets>
  <definedNames>
    <definedName name="_xlnm._FilterDatabase" localSheetId="0" hidden="1">BOOK!$A$1:$E$1</definedName>
    <definedName name="_xlnm._FilterDatabase" localSheetId="1" hidden="1">'BOOK (2)'!$A$1:$F$379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86" i="4"/>
  <c r="C380"/>
  <c r="B380"/>
  <c r="F379"/>
  <c r="E379"/>
  <c r="F378"/>
  <c r="E378"/>
  <c r="F377"/>
  <c r="E377"/>
  <c r="F376"/>
  <c r="E376"/>
  <c r="F375"/>
  <c r="E375"/>
  <c r="F374"/>
  <c r="E374"/>
  <c r="F373"/>
  <c r="E373"/>
  <c r="F372"/>
  <c r="E372"/>
  <c r="F371"/>
  <c r="E371"/>
  <c r="F370"/>
  <c r="E370"/>
  <c r="F369"/>
  <c r="E369"/>
  <c r="F368"/>
  <c r="E368"/>
  <c r="F367"/>
  <c r="E367"/>
  <c r="F366"/>
  <c r="E366"/>
  <c r="F365"/>
  <c r="E365"/>
  <c r="F364"/>
  <c r="E364"/>
  <c r="F363"/>
  <c r="E363"/>
  <c r="F362"/>
  <c r="E362"/>
  <c r="F361"/>
  <c r="E361"/>
  <c r="F360"/>
  <c r="E360"/>
  <c r="F359"/>
  <c r="E359"/>
  <c r="F358"/>
  <c r="E358"/>
  <c r="F357"/>
  <c r="E357"/>
  <c r="F356"/>
  <c r="E356"/>
  <c r="F355"/>
  <c r="E355"/>
  <c r="F354"/>
  <c r="E354"/>
  <c r="F353"/>
  <c r="E353"/>
  <c r="F352"/>
  <c r="E352"/>
  <c r="F351"/>
  <c r="E351"/>
  <c r="F350"/>
  <c r="E350"/>
  <c r="F349"/>
  <c r="E349"/>
  <c r="F348"/>
  <c r="E348"/>
  <c r="F347"/>
  <c r="E347"/>
  <c r="F346"/>
  <c r="E346"/>
  <c r="F345"/>
  <c r="E345"/>
  <c r="F344"/>
  <c r="E344"/>
  <c r="F343"/>
  <c r="E343"/>
  <c r="F342"/>
  <c r="E342"/>
  <c r="F341"/>
  <c r="E341"/>
  <c r="F340"/>
  <c r="E340"/>
  <c r="F339"/>
  <c r="E339"/>
  <c r="F338"/>
  <c r="E338"/>
  <c r="F337"/>
  <c r="E337"/>
  <c r="F336"/>
  <c r="E336"/>
  <c r="F335"/>
  <c r="E335"/>
  <c r="F334"/>
  <c r="E334"/>
  <c r="F333"/>
  <c r="E333"/>
  <c r="F332"/>
  <c r="E332"/>
  <c r="F331"/>
  <c r="E331"/>
  <c r="F330"/>
  <c r="E330"/>
  <c r="F329"/>
  <c r="E329"/>
  <c r="F328"/>
  <c r="E328"/>
  <c r="F327"/>
  <c r="E327"/>
  <c r="F326"/>
  <c r="E326"/>
  <c r="F325"/>
  <c r="E325"/>
  <c r="F324"/>
  <c r="E324"/>
  <c r="F323"/>
  <c r="E323"/>
  <c r="F322"/>
  <c r="E322"/>
  <c r="F321"/>
  <c r="E321"/>
  <c r="F320"/>
  <c r="E320"/>
  <c r="F319"/>
  <c r="E319"/>
  <c r="F318"/>
  <c r="E318"/>
  <c r="F317"/>
  <c r="E317"/>
  <c r="F316"/>
  <c r="E316"/>
  <c r="F315"/>
  <c r="E315"/>
  <c r="F314"/>
  <c r="E314"/>
  <c r="F313"/>
  <c r="E313"/>
  <c r="F312"/>
  <c r="E312"/>
  <c r="F311"/>
  <c r="E311"/>
  <c r="F310"/>
  <c r="E310"/>
  <c r="F309"/>
  <c r="E309"/>
  <c r="F308"/>
  <c r="E308"/>
  <c r="F307"/>
  <c r="E307"/>
  <c r="F306"/>
  <c r="E306"/>
  <c r="F305"/>
  <c r="E305"/>
  <c r="F304"/>
  <c r="E304"/>
  <c r="F303"/>
  <c r="E303"/>
  <c r="F302"/>
  <c r="E302"/>
  <c r="F301"/>
  <c r="E301"/>
  <c r="F300"/>
  <c r="E300"/>
  <c r="F299"/>
  <c r="E299"/>
  <c r="F298"/>
  <c r="E298"/>
  <c r="F297"/>
  <c r="E297"/>
  <c r="F296"/>
  <c r="E296"/>
  <c r="F295"/>
  <c r="E295"/>
  <c r="F294"/>
  <c r="E294"/>
  <c r="F293"/>
  <c r="E293"/>
  <c r="F292"/>
  <c r="E292"/>
  <c r="F291"/>
  <c r="E291"/>
  <c r="F290"/>
  <c r="E290"/>
  <c r="F289"/>
  <c r="E289"/>
  <c r="F288"/>
  <c r="E288"/>
  <c r="F287"/>
  <c r="E287"/>
  <c r="F286"/>
  <c r="E286"/>
  <c r="F285"/>
  <c r="E285"/>
  <c r="F284"/>
  <c r="E284"/>
  <c r="F283"/>
  <c r="E283"/>
  <c r="F282"/>
  <c r="E282"/>
  <c r="F281"/>
  <c r="E281"/>
  <c r="F280"/>
  <c r="E280"/>
  <c r="F279"/>
  <c r="E279"/>
  <c r="F278"/>
  <c r="E278"/>
  <c r="F277"/>
  <c r="E277"/>
  <c r="F276"/>
  <c r="E276"/>
  <c r="F275"/>
  <c r="E275"/>
  <c r="F274"/>
  <c r="E274"/>
  <c r="F273"/>
  <c r="E273"/>
  <c r="F272"/>
  <c r="E272"/>
  <c r="F271"/>
  <c r="E271"/>
  <c r="F270"/>
  <c r="E270"/>
  <c r="F269"/>
  <c r="E269"/>
  <c r="F268"/>
  <c r="E268"/>
  <c r="F267"/>
  <c r="E267"/>
  <c r="F266"/>
  <c r="E266"/>
  <c r="F265"/>
  <c r="E265"/>
  <c r="F264"/>
  <c r="E264"/>
  <c r="F263"/>
  <c r="E263"/>
  <c r="F262"/>
  <c r="E262"/>
  <c r="F261"/>
  <c r="E261"/>
  <c r="F260"/>
  <c r="E260"/>
  <c r="F259"/>
  <c r="E259"/>
  <c r="F258"/>
  <c r="E258"/>
  <c r="F257"/>
  <c r="E257"/>
  <c r="F256"/>
  <c r="E256"/>
  <c r="F255"/>
  <c r="E255"/>
  <c r="F254"/>
  <c r="E254"/>
  <c r="F253"/>
  <c r="E253"/>
  <c r="F252"/>
  <c r="E252"/>
  <c r="F251"/>
  <c r="E251"/>
  <c r="F250"/>
  <c r="E250"/>
  <c r="F249"/>
  <c r="E249"/>
  <c r="F248"/>
  <c r="E248"/>
  <c r="F247"/>
  <c r="E247"/>
  <c r="F246"/>
  <c r="E246"/>
  <c r="F245"/>
  <c r="E245"/>
  <c r="F244"/>
  <c r="E244"/>
  <c r="F243"/>
  <c r="E243"/>
  <c r="F242"/>
  <c r="E242"/>
  <c r="F241"/>
  <c r="E241"/>
  <c r="F240"/>
  <c r="E240"/>
  <c r="F239"/>
  <c r="E239"/>
  <c r="F238"/>
  <c r="E238"/>
  <c r="F237"/>
  <c r="E237"/>
  <c r="F236"/>
  <c r="E236"/>
  <c r="F235"/>
  <c r="E235"/>
  <c r="F234"/>
  <c r="E234"/>
  <c r="F233"/>
  <c r="E233"/>
  <c r="F232"/>
  <c r="E232"/>
  <c r="F231"/>
  <c r="E231"/>
  <c r="F230"/>
  <c r="E230"/>
  <c r="F229"/>
  <c r="E229"/>
  <c r="F228"/>
  <c r="E228"/>
  <c r="F227"/>
  <c r="E227"/>
  <c r="F226"/>
  <c r="E226"/>
  <c r="F225"/>
  <c r="E225"/>
  <c r="F224"/>
  <c r="E224"/>
  <c r="F223"/>
  <c r="E223"/>
  <c r="F222"/>
  <c r="E222"/>
  <c r="F221"/>
  <c r="E221"/>
  <c r="F220"/>
  <c r="E220"/>
  <c r="F219"/>
  <c r="E219"/>
  <c r="F218"/>
  <c r="E218"/>
  <c r="F217"/>
  <c r="E217"/>
  <c r="F216"/>
  <c r="E216"/>
  <c r="F215"/>
  <c r="E215"/>
  <c r="F214"/>
  <c r="E214"/>
  <c r="F213"/>
  <c r="E213"/>
  <c r="F212"/>
  <c r="E212"/>
  <c r="F211"/>
  <c r="E211"/>
  <c r="F210"/>
  <c r="E210"/>
  <c r="F209"/>
  <c r="E209"/>
  <c r="F208"/>
  <c r="E208"/>
  <c r="F207"/>
  <c r="E207"/>
  <c r="F206"/>
  <c r="E206"/>
  <c r="F205"/>
  <c r="E205"/>
  <c r="F204"/>
  <c r="E204"/>
  <c r="F203"/>
  <c r="E203"/>
  <c r="F202"/>
  <c r="E202"/>
  <c r="F201"/>
  <c r="E201"/>
  <c r="F200"/>
  <c r="E200"/>
  <c r="F199"/>
  <c r="E199"/>
  <c r="F198"/>
  <c r="E198"/>
  <c r="F197"/>
  <c r="E197"/>
  <c r="F196"/>
  <c r="E196"/>
  <c r="F195"/>
  <c r="E195"/>
  <c r="F194"/>
  <c r="E194"/>
  <c r="F193"/>
  <c r="E193"/>
  <c r="F192"/>
  <c r="E192"/>
  <c r="F191"/>
  <c r="E191"/>
  <c r="F190"/>
  <c r="E190"/>
  <c r="F189"/>
  <c r="E189"/>
  <c r="F188"/>
  <c r="E188"/>
  <c r="F187"/>
  <c r="E187"/>
  <c r="F186"/>
  <c r="E186"/>
  <c r="F185"/>
  <c r="E185"/>
  <c r="F184"/>
  <c r="E184"/>
  <c r="F183"/>
  <c r="E183"/>
  <c r="F182"/>
  <c r="E182"/>
  <c r="F181"/>
  <c r="E181"/>
  <c r="F180"/>
  <c r="E180"/>
  <c r="F179"/>
  <c r="E179"/>
  <c r="F178"/>
  <c r="E178"/>
  <c r="F177"/>
  <c r="E177"/>
  <c r="F176"/>
  <c r="E176"/>
  <c r="F175"/>
  <c r="E175"/>
  <c r="F174"/>
  <c r="E174"/>
  <c r="F173"/>
  <c r="E173"/>
  <c r="F172"/>
  <c r="E172"/>
  <c r="F171"/>
  <c r="E171"/>
  <c r="F170"/>
  <c r="E170"/>
  <c r="F169"/>
  <c r="E169"/>
  <c r="F168"/>
  <c r="E168"/>
  <c r="F167"/>
  <c r="E167"/>
  <c r="F166"/>
  <c r="E166"/>
  <c r="F165"/>
  <c r="E165"/>
  <c r="F164"/>
  <c r="E164"/>
  <c r="F163"/>
  <c r="E163"/>
  <c r="F162"/>
  <c r="E162"/>
  <c r="F161"/>
  <c r="E161"/>
  <c r="F160"/>
  <c r="E160"/>
  <c r="F159"/>
  <c r="E159"/>
  <c r="F158"/>
  <c r="E158"/>
  <c r="F157"/>
  <c r="E157"/>
  <c r="F156"/>
  <c r="E156"/>
  <c r="F155"/>
  <c r="E155"/>
  <c r="F154"/>
  <c r="E154"/>
  <c r="F153"/>
  <c r="E153"/>
  <c r="F152"/>
  <c r="E152"/>
  <c r="F151"/>
  <c r="E151"/>
  <c r="F150"/>
  <c r="E150"/>
  <c r="F149"/>
  <c r="E149"/>
  <c r="F148"/>
  <c r="E148"/>
  <c r="F147"/>
  <c r="E147"/>
  <c r="F146"/>
  <c r="E146"/>
  <c r="F145"/>
  <c r="E145"/>
  <c r="F144"/>
  <c r="E144"/>
  <c r="F143"/>
  <c r="E143"/>
  <c r="F142"/>
  <c r="E142"/>
  <c r="F141"/>
  <c r="E141"/>
  <c r="F140"/>
  <c r="E140"/>
  <c r="F139"/>
  <c r="E139"/>
  <c r="F138"/>
  <c r="E138"/>
  <c r="F137"/>
  <c r="E137"/>
  <c r="F136"/>
  <c r="E136"/>
  <c r="F135"/>
  <c r="E135"/>
  <c r="F134"/>
  <c r="E134"/>
  <c r="F133"/>
  <c r="E133"/>
  <c r="F132"/>
  <c r="E132"/>
  <c r="F131"/>
  <c r="E131"/>
  <c r="F130"/>
  <c r="E130"/>
  <c r="F129"/>
  <c r="E129"/>
  <c r="F128"/>
  <c r="E128"/>
  <c r="F127"/>
  <c r="E127"/>
  <c r="F126"/>
  <c r="E126"/>
  <c r="F125"/>
  <c r="E125"/>
  <c r="F124"/>
  <c r="E124"/>
  <c r="F123"/>
  <c r="E123"/>
  <c r="F122"/>
  <c r="E122"/>
  <c r="F121"/>
  <c r="E121"/>
  <c r="F120"/>
  <c r="E120"/>
  <c r="F119"/>
  <c r="E119"/>
  <c r="F118"/>
  <c r="E118"/>
  <c r="F117"/>
  <c r="E117"/>
  <c r="F116"/>
  <c r="E116"/>
  <c r="F115"/>
  <c r="E115"/>
  <c r="F114"/>
  <c r="E114"/>
  <c r="F113"/>
  <c r="E113"/>
  <c r="F112"/>
  <c r="E112"/>
  <c r="F111"/>
  <c r="E111"/>
  <c r="F110"/>
  <c r="E110"/>
  <c r="F109"/>
  <c r="E109"/>
  <c r="F108"/>
  <c r="E108"/>
  <c r="F107"/>
  <c r="E107"/>
  <c r="F106"/>
  <c r="E106"/>
  <c r="F105"/>
  <c r="E105"/>
  <c r="F104"/>
  <c r="E104"/>
  <c r="F103"/>
  <c r="E103"/>
  <c r="F102"/>
  <c r="E102"/>
  <c r="F101"/>
  <c r="E101"/>
  <c r="F100"/>
  <c r="E100"/>
  <c r="F99"/>
  <c r="E99"/>
  <c r="F98"/>
  <c r="E98"/>
  <c r="F97"/>
  <c r="E97"/>
  <c r="F96"/>
  <c r="E96"/>
  <c r="F95"/>
  <c r="E95"/>
  <c r="F94"/>
  <c r="E94"/>
  <c r="F93"/>
  <c r="E93"/>
  <c r="F92"/>
  <c r="E92"/>
  <c r="F91"/>
  <c r="E91"/>
  <c r="F90"/>
  <c r="E90"/>
  <c r="F89"/>
  <c r="E89"/>
  <c r="F88"/>
  <c r="E88"/>
  <c r="F87"/>
  <c r="E87"/>
  <c r="F86"/>
  <c r="E86"/>
  <c r="F85"/>
  <c r="E85"/>
  <c r="F84"/>
  <c r="E84"/>
  <c r="F83"/>
  <c r="E83"/>
  <c r="F82"/>
  <c r="E82"/>
  <c r="F81"/>
  <c r="E81"/>
  <c r="F80"/>
  <c r="E80"/>
  <c r="F79"/>
  <c r="E79"/>
  <c r="F78"/>
  <c r="E78"/>
  <c r="F77"/>
  <c r="E77"/>
  <c r="F76"/>
  <c r="E76"/>
  <c r="F75"/>
  <c r="E75"/>
  <c r="F74"/>
  <c r="E74"/>
  <c r="F73"/>
  <c r="E73"/>
  <c r="F72"/>
  <c r="E72"/>
  <c r="F71"/>
  <c r="E71"/>
  <c r="F70"/>
  <c r="E70"/>
  <c r="F69"/>
  <c r="E69"/>
  <c r="F68"/>
  <c r="E68"/>
  <c r="F67"/>
  <c r="E67"/>
  <c r="F66"/>
  <c r="E66"/>
  <c r="F65"/>
  <c r="E65"/>
  <c r="F64"/>
  <c r="E64"/>
  <c r="F63"/>
  <c r="E63"/>
  <c r="F62"/>
  <c r="E62"/>
  <c r="F61"/>
  <c r="E61"/>
  <c r="F60"/>
  <c r="E60"/>
  <c r="F59"/>
  <c r="E59"/>
  <c r="F58"/>
  <c r="E58"/>
  <c r="F57"/>
  <c r="E57"/>
  <c r="F56"/>
  <c r="E56"/>
  <c r="F55"/>
  <c r="E55"/>
  <c r="F54"/>
  <c r="E54"/>
  <c r="F53"/>
  <c r="E53"/>
  <c r="F52"/>
  <c r="E52"/>
  <c r="F51"/>
  <c r="E51"/>
  <c r="F50"/>
  <c r="E50"/>
  <c r="F49"/>
  <c r="E49"/>
  <c r="F48"/>
  <c r="E48"/>
  <c r="F47"/>
  <c r="E47"/>
  <c r="F46"/>
  <c r="E46"/>
  <c r="F45"/>
  <c r="E45"/>
  <c r="F44"/>
  <c r="E44"/>
  <c r="F43"/>
  <c r="E43"/>
  <c r="F42"/>
  <c r="E42"/>
  <c r="F41"/>
  <c r="E41"/>
  <c r="F40"/>
  <c r="E40"/>
  <c r="F39"/>
  <c r="E39"/>
  <c r="F38"/>
  <c r="E38"/>
  <c r="F37"/>
  <c r="E37"/>
  <c r="F36"/>
  <c r="E36"/>
  <c r="F35"/>
  <c r="E35"/>
  <c r="F34"/>
  <c r="E34"/>
  <c r="F33"/>
  <c r="E33"/>
  <c r="F32"/>
  <c r="E32"/>
  <c r="F31"/>
  <c r="E31"/>
  <c r="F30"/>
  <c r="E30"/>
  <c r="F29"/>
  <c r="E29"/>
  <c r="F28"/>
  <c r="E28"/>
  <c r="F27"/>
  <c r="E27"/>
  <c r="F26"/>
  <c r="E26"/>
  <c r="F25"/>
  <c r="E25"/>
  <c r="F24"/>
  <c r="E24"/>
  <c r="F23"/>
  <c r="E23"/>
  <c r="F22"/>
  <c r="E22"/>
  <c r="F21"/>
  <c r="E21"/>
  <c r="F20"/>
  <c r="E20"/>
  <c r="F19"/>
  <c r="E19"/>
  <c r="F18"/>
  <c r="E18"/>
  <c r="F17"/>
  <c r="E17"/>
  <c r="F16"/>
  <c r="E16"/>
  <c r="F15"/>
  <c r="E15"/>
  <c r="F14"/>
  <c r="E14"/>
  <c r="F13"/>
  <c r="E13"/>
  <c r="F12"/>
  <c r="E12"/>
  <c r="F11"/>
  <c r="E11"/>
  <c r="F10"/>
  <c r="E10"/>
  <c r="F9"/>
  <c r="E9"/>
  <c r="F8"/>
  <c r="E8"/>
  <c r="F7"/>
  <c r="E7"/>
  <c r="F6"/>
  <c r="E6"/>
  <c r="F5"/>
  <c r="E5"/>
  <c r="F4"/>
  <c r="E4"/>
  <c r="F3"/>
  <c r="E3"/>
  <c r="F2"/>
  <c r="E2"/>
  <c r="F380" l="1"/>
  <c r="E380"/>
</calcChain>
</file>

<file path=xl/sharedStrings.xml><?xml version="1.0" encoding="utf-8"?>
<sst xmlns="http://schemas.openxmlformats.org/spreadsheetml/2006/main" count="1287" uniqueCount="317">
  <si>
    <t>qte</t>
  </si>
  <si>
    <t>type</t>
  </si>
  <si>
    <t>poids</t>
  </si>
  <si>
    <t>client</t>
  </si>
  <si>
    <t>EURL STEEL SOLIDE</t>
  </si>
  <si>
    <t>SARL GOLD METAL TOUALI</t>
  </si>
  <si>
    <t>SARL MASSINISSA STEEL IMPORT EXPORT</t>
  </si>
  <si>
    <t>SARL ALFA STEEL</t>
  </si>
  <si>
    <t>BATICOMPOS SPA</t>
  </si>
  <si>
    <t>SARL ILOOK</t>
  </si>
  <si>
    <t>SARL AKRAM INVESTISSEMENT</t>
  </si>
  <si>
    <t>SARL SPSRS</t>
  </si>
  <si>
    <t>SARL HODNA METAL</t>
  </si>
  <si>
    <t>SPA BORDJ STEEL</t>
  </si>
  <si>
    <t>SARL WILDEX INDUSTRIES</t>
  </si>
  <si>
    <t>SARL KERNOU ALUMINIUM IMPORT-EXPORT</t>
  </si>
  <si>
    <t>COIL</t>
  </si>
  <si>
    <t>SARL ELITE FOREST PRODUCT</t>
  </si>
  <si>
    <t>SARL IMICOM</t>
  </si>
  <si>
    <t>SARL SPOTIFY</t>
  </si>
  <si>
    <t>PLYWOOD</t>
  </si>
  <si>
    <t>SARL MENOUS DU BOIS</t>
  </si>
  <si>
    <t>MDF</t>
  </si>
  <si>
    <t>SONATRACH DIVISION PRODUCTION</t>
  </si>
  <si>
    <t>TUBE</t>
  </si>
  <si>
    <t>BORDJ STEEL SPA</t>
  </si>
  <si>
    <t>SARL STEEL TRANS</t>
  </si>
  <si>
    <t>SARL HAMETAL CONSTRUCTION</t>
  </si>
  <si>
    <t>SARL INNOVMET INDUSTRIE</t>
  </si>
  <si>
    <t>EURL PROFILO METTAL</t>
  </si>
  <si>
    <t>EURL ECOLOGE</t>
  </si>
  <si>
    <t>METAL SHEET</t>
  </si>
  <si>
    <t>KHATMI OMAR</t>
  </si>
  <si>
    <t>MAGHREB LEASING ALGERIE SPA P/C SARL ENTRASER</t>
  </si>
  <si>
    <t>IHADADENE GHENIMA EPSE BOUSTA</t>
  </si>
  <si>
    <t>ZORGANI SLIMANE</t>
  </si>
  <si>
    <t>ALI HAIMOUD HADJ</t>
  </si>
  <si>
    <t>AL SALAM BANK ALGERIA LOCATAIRE EURL CONSERVERIE DE BONE</t>
  </si>
  <si>
    <t>AL SALAM BANK ALGERIA LOCATAIRE SARL RAYANE PAPIER</t>
  </si>
  <si>
    <t>SARL SINARCO IMPORT</t>
  </si>
  <si>
    <t>SARL STE FRERES BOUHANOUN TRAVAUX PUBLICS ET HYDRAULIQUE</t>
  </si>
  <si>
    <t>SARL DEKINSAN</t>
  </si>
  <si>
    <t>NATIXIS ALGERIE CREDIT PRENEUR SPA SARL VERY NET</t>
  </si>
  <si>
    <t>EURL TCR TRAVAUX CONSTRUCTION DES ROUTES</t>
  </si>
  <si>
    <t>SARL ABNAA SALMA TRAVAUX</t>
  </si>
  <si>
    <t>BOUKHAMKHAM AHMED</t>
  </si>
  <si>
    <t>SARL KAHIA METAL</t>
  </si>
  <si>
    <t>MAGHREB LEASING ALGERIE P/C SPA SAIGHI MOHAMMED ALI</t>
  </si>
  <si>
    <t>HENNOUCHE HAKIM</t>
  </si>
  <si>
    <t>DEKKIR MESSAOUD</t>
  </si>
  <si>
    <t>MAGHREB LEASING ALGERIE SPA P/C SARL AL IKHWA BELHOUAMRI</t>
  </si>
  <si>
    <t>SARL MOULINS FRERES BOUCENNA</t>
  </si>
  <si>
    <t>BANQUE DE L'AGRICULTURE ET DU DEVELOPPEMENT RURAL P\/C BOUFE</t>
  </si>
  <si>
    <t>LARIBI AMINE</t>
  </si>
  <si>
    <t>SERKHAD MOHAMED</t>
  </si>
  <si>
    <t>SNC STE BENI AICHE ET CIE TRAVAUX GENERAUX</t>
  </si>
  <si>
    <t>LAMOURI LAID</t>
  </si>
  <si>
    <t>KORICHI YACINE</t>
  </si>
  <si>
    <t>EURL LE PANIER DE FRUITS IMP/EXP</t>
  </si>
  <si>
    <t>DJILALI MHANI</t>
  </si>
  <si>
    <t>EL DJAZAIR IDJAR SPA P/C ABOUD TORKI</t>
  </si>
  <si>
    <t>SOCIETE GENERALE ALGERIE SPA LOCATAIRE GREEN SKY SARL</t>
  </si>
  <si>
    <t>S.N.C OUAZENE ET FRERES</t>
  </si>
  <si>
    <t>BENSLIMANE ABDELMADJID</t>
  </si>
  <si>
    <t>EURL MISSAOUI TAYEB</t>
  </si>
  <si>
    <t>SEBATA LEMNOUER</t>
  </si>
  <si>
    <t>BOUDEFFA SAMIR</t>
  </si>
  <si>
    <t>TAHRI MOHAMED</t>
  </si>
  <si>
    <t>GHEDIRI TAREK</t>
  </si>
  <si>
    <t>DERGHAL AMAR</t>
  </si>
  <si>
    <t>NATIXIS ALGERIE SPA P/C EURL EL GHAZOU</t>
  </si>
  <si>
    <t>SARL F M C E</t>
  </si>
  <si>
    <t>KADDOURI MOHAMED</t>
  </si>
  <si>
    <t>SARL SOUMMAM SOUM</t>
  </si>
  <si>
    <t>SEMIR ABDELKADER TPM</t>
  </si>
  <si>
    <t>KHADIR MOHAMED</t>
  </si>
  <si>
    <t>EURL SEDDARI ANNABA GTPH</t>
  </si>
  <si>
    <t>MAGHREB LEASING ALGERIE SPA P/C SARL PIGMA COLOR</t>
  </si>
  <si>
    <t>SPA SOCIETE NATIONALE DE LEASING SNL P/C SARL TRAVAUX 2000</t>
  </si>
  <si>
    <t>EL DJAZAIR IDJAR SPA P/C SARL SECTB</t>
  </si>
  <si>
    <t>SNC SOTRABAP BELHADJ ET CIE</t>
  </si>
  <si>
    <t>IJAR LEASING ALGERIE SPA C/P HMED BETON SARL</t>
  </si>
  <si>
    <t>SARL LEHSANA DES TRAVAUX PUBLICS</t>
  </si>
  <si>
    <t>GUEMARI AHMED SAID</t>
  </si>
  <si>
    <t>SARL GOLDEN PRINCE INVEST</t>
  </si>
  <si>
    <t>BAHLOUL YOUCEF</t>
  </si>
  <si>
    <t>MAGHREB LEASING ALGERIE SPA P/C SARL SUR BETON</t>
  </si>
  <si>
    <t>EURL ESPOIR EGTBH</t>
  </si>
  <si>
    <t>EURL GROUPE DE TRAVAUX GUERGAR(GTG)</t>
  </si>
  <si>
    <t>TOUATI SALIHA</t>
  </si>
  <si>
    <t>EURL TOP NAAL</t>
  </si>
  <si>
    <t>DEBLAOUI SMAIL</t>
  </si>
  <si>
    <t>AILAM AMID ALI</t>
  </si>
  <si>
    <t>HAMZA KHALED</t>
  </si>
  <si>
    <t>BENDRISSE HASSAN</t>
  </si>
  <si>
    <t>KHATMI OMAR TRANSPORT COMPANY</t>
  </si>
  <si>
    <t>SARL ALGERIENNE GENIE CIVIL</t>
  </si>
  <si>
    <t>BOUKHEZZA SAMIR</t>
  </si>
  <si>
    <t>EURL ALSFWANE SERVICES GENERALE</t>
  </si>
  <si>
    <t>SARL LAARACH</t>
  </si>
  <si>
    <t>SARL PILLARS</t>
  </si>
  <si>
    <t>SARL SUD TIMMI ADRAR</t>
  </si>
  <si>
    <t>DEBA NAOURI</t>
  </si>
  <si>
    <t>SARL MS INJAZ COM</t>
  </si>
  <si>
    <t>AGB GULF BANK ALGERIE LOCATAIRE SARL BOUKLI HACENE ABDERAHIM</t>
  </si>
  <si>
    <t>SARL EL-HACHEMI ET FILS ROUTES</t>
  </si>
  <si>
    <t>S.A.R.L DEVECO</t>
  </si>
  <si>
    <t>EURL ETPH BOUDJELTI</t>
  </si>
  <si>
    <t>SARL BCT CONCASSAGE BROYAGE METAUX AFTIS</t>
  </si>
  <si>
    <t>SARL IBKA CONSTRUCTION-IBALIDEN AISSA ET ASSOCIES TIHARKATIN</t>
  </si>
  <si>
    <t>EURL AISSI E.T.R.H.B</t>
  </si>
  <si>
    <t>SARL TANASSAMOU GENIE CIVIL</t>
  </si>
  <si>
    <t>KARIM ABDELMADJID</t>
  </si>
  <si>
    <t>EURL ABDENNOUR SERVICES ET ENTREPRENEURAIL</t>
  </si>
  <si>
    <t>EURL A H S LIL ELNAKL WA ELISTITHMAR</t>
  </si>
  <si>
    <t>MESMOUDI KAMAL</t>
  </si>
  <si>
    <t>SPA BANQUE EL BARAKA D'ALGERIE P/C SARL MIZOU WORLD TRADING</t>
  </si>
  <si>
    <t>SARL EL HADJ RABAH STEEL</t>
  </si>
  <si>
    <t>SARL FLEX BOET</t>
  </si>
  <si>
    <t>MAGHREB LEASING ALGERIE SPA P/C SARL NUMERIA LOGISTICS.</t>
  </si>
  <si>
    <t>BANQUE DE L'AGRICULTURE ET DU DEVELOPPEMENT RURAL P/C BOUFEN</t>
  </si>
  <si>
    <t>EURL MONDIAL LOGISTIQUE</t>
  </si>
  <si>
    <t>UNIT + PACKAGE</t>
  </si>
  <si>
    <t>STEEL BEAM</t>
  </si>
  <si>
    <t>rec_qty</t>
  </si>
  <si>
    <t>UNITS+PACKAGES</t>
  </si>
  <si>
    <t>ABAHRI NACEUR</t>
  </si>
  <si>
    <t>AHFAIDIA ABDELWAHEB</t>
  </si>
  <si>
    <t>BENBAAZIZ MOHAMED</t>
  </si>
  <si>
    <t>BENGUESMIA SOPHIANE</t>
  </si>
  <si>
    <t>BENSAID MOHAMMED</t>
  </si>
  <si>
    <t>BOUCHIBA MADJIDA</t>
  </si>
  <si>
    <t>BOUDDAD ALI</t>
  </si>
  <si>
    <t>BOURGHAIA TOUFIK</t>
  </si>
  <si>
    <t>BOUSSIOUD BOUALEM</t>
  </si>
  <si>
    <t>CHINA ROAD AND BRIDGE CORPORATION</t>
  </si>
  <si>
    <t>CSCEC ALGERIE</t>
  </si>
  <si>
    <t>EL DJAZAIR IDJAR SPA P/C HAREK ZIDANE</t>
  </si>
  <si>
    <t>EL DJAZAIR IDJAR SPA P/C SARL SLIMZEG GRAND TRAVAUX</t>
  </si>
  <si>
    <t>ETP DIB ZIDANE</t>
  </si>
  <si>
    <t>ETPH OUAZENE NABIL</t>
  </si>
  <si>
    <t>EURL ABDELKAHAR YOURT</t>
  </si>
  <si>
    <t>EURL AFIF YACINE TRAVAUX PUBLICS ET TCE</t>
  </si>
  <si>
    <t>EURL BABOR WOOD</t>
  </si>
  <si>
    <t>EURL BM GRAND TRAVAUX ET SERVICES</t>
  </si>
  <si>
    <t>EURL BOUGHEZALA ENTERPRISES GENERAUX ET LOCATION MATERIELS</t>
  </si>
  <si>
    <t>EURL BOUSSIOUD KOUIDER TRAVAUX</t>
  </si>
  <si>
    <t>EURL CHERIF HOSNI KHALID</t>
  </si>
  <si>
    <t>EURL ECHANOUIA</t>
  </si>
  <si>
    <t>EURL EL TAHOURE GRANDS TRAVAUX PUBLICS HYDRAULIQUE ET CONSTRUCTION</t>
  </si>
  <si>
    <t>EURL ELASSALA TRAVAUX PUBLICS</t>
  </si>
  <si>
    <t>EURL ELSANABEL FABRICO</t>
  </si>
  <si>
    <t>EURL ENTREPRISE TRAVAUX PUBLICS</t>
  </si>
  <si>
    <t>EURL GANDER TRAVAUX PUBLICS</t>
  </si>
  <si>
    <t>EURL GHERBI MOURAD TRAVAUX ET SERVICES</t>
  </si>
  <si>
    <t>EURL GIBA TRADE IMPORT EXPORT</t>
  </si>
  <si>
    <t>EURL GOLDEN SQUARE</t>
  </si>
  <si>
    <t>EURL HK BOIS</t>
  </si>
  <si>
    <t>EURL HYDRO GK</t>
  </si>
  <si>
    <t>EURL PODIOUM TRAVAUX PUBLICS PROJET</t>
  </si>
  <si>
    <t>EURL PROTIMGAD</t>
  </si>
  <si>
    <t>EURL RAIF ROUFI</t>
  </si>
  <si>
    <t>EURL SNT IMPORT EXPORT</t>
  </si>
  <si>
    <t>BIG BAG</t>
  </si>
  <si>
    <t>GADI KAMAL</t>
  </si>
  <si>
    <t>GUIRI ABDELGHANI</t>
  </si>
  <si>
    <t>HADDAD AMMAR</t>
  </si>
  <si>
    <t>HADFI BOUBAKER</t>
  </si>
  <si>
    <t>HADJAM ABADOU</t>
  </si>
  <si>
    <t>HAMDANI MERIEM MARKED</t>
  </si>
  <si>
    <t>HARIZ FARID</t>
  </si>
  <si>
    <t>HEBALI MOURAD</t>
  </si>
  <si>
    <t>KETFI ASSAM</t>
  </si>
  <si>
    <t>KHALDI MOHAMED AMINE</t>
  </si>
  <si>
    <t>KRECHICHE LADJEL</t>
  </si>
  <si>
    <t>MADI ABDELOUAHAB</t>
  </si>
  <si>
    <t>MAGHREB LEASING ALGERIE SPA P/C SARL MEDJEDED TRAVAUX</t>
  </si>
  <si>
    <t>METRI RABIE</t>
  </si>
  <si>
    <t>MOUILAH MOHAMED</t>
  </si>
  <si>
    <t>NATRA INTERNATIONAL SPA</t>
  </si>
  <si>
    <t>OULAD BRAHIM LAKHDAR</t>
  </si>
  <si>
    <t>SAIDAT ABDERRAZZAK</t>
  </si>
  <si>
    <t>SARL ALLAL INDUSTRIE</t>
  </si>
  <si>
    <t>SARL ATIA MEHDI ET FRERES</t>
  </si>
  <si>
    <t>SARL AURES ROYAL ENTREPRISE</t>
  </si>
  <si>
    <t>SARL AURES ROYALE ENTREPRISE</t>
  </si>
  <si>
    <t>SARL BATI SUD 2000</t>
  </si>
  <si>
    <t>SARL BHR WOOD IMPORTATION BOIS ET DERIVES</t>
  </si>
  <si>
    <t>SARL BOUSAADA MATERIAUX DE CONSTRUCTION (BMC)</t>
  </si>
  <si>
    <t>SARL CHALAL TRAVEL AGENCY</t>
  </si>
  <si>
    <t>SARL CHENEM BOIS IMPORT EXPORT</t>
  </si>
  <si>
    <t>SARL DJALA IMPORT EXPORT</t>
  </si>
  <si>
    <t>SARL FDB IMPORT EXPORT IMPORTATION DE BOIS ET DERIVEE</t>
  </si>
  <si>
    <t>SARL GHESSAB MOUSSA ET FILS POUR LE BOIS</t>
  </si>
  <si>
    <t>SARL GROUPE CMMC</t>
  </si>
  <si>
    <t>SARL GROUPE EL FENNEC</t>
  </si>
  <si>
    <t>SARL KERROUCHE</t>
  </si>
  <si>
    <t>SARL LAGRA GRAND TRAVAUX</t>
  </si>
  <si>
    <t>SARL MADJENE</t>
  </si>
  <si>
    <t>SARL MAHBOUB BOIS IMPORTATION DE BOIS ET DE LIEGE</t>
  </si>
  <si>
    <t>SARL MH TAFNA</t>
  </si>
  <si>
    <t>SARL MONOPAN</t>
  </si>
  <si>
    <t>SARL R H BOIS</t>
  </si>
  <si>
    <t>SARL RAID GRANDS REALISATIONS</t>
  </si>
  <si>
    <t>SARL ROYAL CERAM</t>
  </si>
  <si>
    <t>SARL SAFI SERVICES GENERAL</t>
  </si>
  <si>
    <t>SARL SOCIETE REAL VIT</t>
  </si>
  <si>
    <t>SARL SPOTLIGHT PETROLEUM SERVICES</t>
  </si>
  <si>
    <t>SARL TRADY SPAN</t>
  </si>
  <si>
    <t>SARL WOOD TIMBER IMPORTATION DE BOIS ET DERIVEE</t>
  </si>
  <si>
    <t>SGT ALGERIE SPA</t>
  </si>
  <si>
    <t>SociÃ©tÃ© Nationale de GÃ©nie Civil et BÃ¢timent (GCB)</t>
  </si>
  <si>
    <t>SOCIETE GENERALE ALGERIE SPA LOCATAIRE SARL BATINOL CONSTRUCTION</t>
  </si>
  <si>
    <t>SPA CONDOR ELECTRONICS</t>
  </si>
  <si>
    <t>SPA SOCIETE NATIONALE DE LEASING SN</t>
  </si>
  <si>
    <t>TABTI ABDELKADER</t>
  </si>
  <si>
    <t>TALEB LEILA</t>
  </si>
  <si>
    <t>TELIB HOCINE</t>
  </si>
  <si>
    <t>TITEM ABDELKARIM</t>
  </si>
  <si>
    <t>YAKHLEF ABDELAZIZ</t>
  </si>
  <si>
    <t>N° BL</t>
  </si>
  <si>
    <t>SM25258HDJD001</t>
  </si>
  <si>
    <t>SM25258GDJD001</t>
  </si>
  <si>
    <t>D131</t>
  </si>
  <si>
    <t>D013</t>
  </si>
  <si>
    <t>D016</t>
  </si>
  <si>
    <t>D022</t>
  </si>
  <si>
    <t>D062</t>
  </si>
  <si>
    <t>D025</t>
  </si>
  <si>
    <t>D024</t>
  </si>
  <si>
    <t>D050</t>
  </si>
  <si>
    <t>D027</t>
  </si>
  <si>
    <t>D048</t>
  </si>
  <si>
    <t>D110</t>
  </si>
  <si>
    <t>D129</t>
  </si>
  <si>
    <t>D015</t>
  </si>
  <si>
    <t>D091</t>
  </si>
  <si>
    <t>D008</t>
  </si>
  <si>
    <t>D113/114</t>
  </si>
  <si>
    <t>D118</t>
  </si>
  <si>
    <t>D003</t>
  </si>
  <si>
    <t>D066</t>
  </si>
  <si>
    <t>D120</t>
  </si>
  <si>
    <t>D119</t>
  </si>
  <si>
    <t>D092</t>
  </si>
  <si>
    <t>D063</t>
  </si>
  <si>
    <t>D087A</t>
  </si>
  <si>
    <t>D124A</t>
  </si>
  <si>
    <t>D127</t>
  </si>
  <si>
    <t>D109</t>
  </si>
  <si>
    <t>D002</t>
  </si>
  <si>
    <t>D035</t>
  </si>
  <si>
    <t>D055</t>
  </si>
  <si>
    <t>D064</t>
  </si>
  <si>
    <t>D041-044</t>
  </si>
  <si>
    <t>D071</t>
  </si>
  <si>
    <t>D020</t>
  </si>
  <si>
    <t>D095</t>
  </si>
  <si>
    <t>D061</t>
  </si>
  <si>
    <t>D089</t>
  </si>
  <si>
    <t>D111</t>
  </si>
  <si>
    <t>D001</t>
  </si>
  <si>
    <t>D011</t>
  </si>
  <si>
    <t>D045/107</t>
  </si>
  <si>
    <t>D047</t>
  </si>
  <si>
    <t>D134</t>
  </si>
  <si>
    <t>D029</t>
  </si>
  <si>
    <t>D004</t>
  </si>
  <si>
    <t>D085</t>
  </si>
  <si>
    <t>D102</t>
  </si>
  <si>
    <t>D051</t>
  </si>
  <si>
    <t>D100</t>
  </si>
  <si>
    <t>D038B</t>
  </si>
  <si>
    <t>D018</t>
  </si>
  <si>
    <t>D009</t>
  </si>
  <si>
    <t>D058</t>
  </si>
  <si>
    <t>D060</t>
  </si>
  <si>
    <t>D034</t>
  </si>
  <si>
    <t>D057</t>
  </si>
  <si>
    <t>D130</t>
  </si>
  <si>
    <t>D101</t>
  </si>
  <si>
    <t>D124B</t>
  </si>
  <si>
    <t>D096</t>
  </si>
  <si>
    <t>D005</t>
  </si>
  <si>
    <t>D065</t>
  </si>
  <si>
    <t>D108</t>
  </si>
  <si>
    <t>D014</t>
  </si>
  <si>
    <t>D067</t>
  </si>
  <si>
    <t>D070</t>
  </si>
  <si>
    <t>D068</t>
  </si>
  <si>
    <t>D075</t>
  </si>
  <si>
    <t>D019</t>
  </si>
  <si>
    <t>D074</t>
  </si>
  <si>
    <t>D032</t>
  </si>
  <si>
    <t>D103</t>
  </si>
  <si>
    <t>D028</t>
  </si>
  <si>
    <t>D072</t>
  </si>
  <si>
    <t>D023</t>
  </si>
  <si>
    <t>D076</t>
  </si>
  <si>
    <t>D077</t>
  </si>
  <si>
    <t>D030/031</t>
  </si>
  <si>
    <t>D007</t>
  </si>
  <si>
    <t>D053</t>
  </si>
  <si>
    <t>D054</t>
  </si>
  <si>
    <t>D046</t>
  </si>
  <si>
    <t>D126</t>
  </si>
  <si>
    <t>D073</t>
  </si>
  <si>
    <t>D069</t>
  </si>
  <si>
    <t>D135</t>
  </si>
  <si>
    <t>D056</t>
  </si>
  <si>
    <t>D084</t>
  </si>
  <si>
    <t>D082</t>
  </si>
  <si>
    <t>D128</t>
  </si>
  <si>
    <t>D012</t>
  </si>
  <si>
    <t>D006</t>
  </si>
  <si>
    <t>D017</t>
  </si>
  <si>
    <t>D090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</si>
</sst>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0"/>
      <color rgb="FF000000"/>
      <name val="Helvetica"/>
    </font>
    <font>
      <sz val="8"/>
      <color theme="1"/>
      <name val="Calibri"/>
      <family val="2"/>
      <scheme val="minor"/>
    </font>
    <font>
      <b/>
      <sz val="8"/>
      <color rgb="FF000000"/>
      <name val="Helvetica"/>
    </font>
    <font>
      <sz val="10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2"/>
      <color rgb="FF000000"/>
      <name val="Helvetica"/>
    </font>
    <font>
      <b/>
      <sz val="12"/>
      <color theme="1"/>
      <name val="Calibri Light"/>
      <family val="2"/>
      <scheme val="maj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Fill="1"/>
    <xf numFmtId="0" fontId="0" fillId="0" borderId="0" xfId="0" applyAlignment="1">
      <alignment horizontal="center" vertical="center"/>
    </xf>
    <xf numFmtId="0" fontId="1" fillId="0" borderId="1" xfId="0" applyNumberFormat="1" applyFont="1" applyBorder="1" applyAlignment="1">
      <alignment horizontal="left" wrapText="1"/>
    </xf>
    <xf numFmtId="0" fontId="1" fillId="0" borderId="1" xfId="0" applyNumberFormat="1" applyFont="1" applyBorder="1" applyAlignment="1">
      <alignment horizontal="right" wrapText="1"/>
    </xf>
    <xf numFmtId="0" fontId="1" fillId="0" borderId="2" xfId="0" applyNumberFormat="1" applyFont="1" applyBorder="1" applyAlignment="1">
      <alignment horizontal="left" wrapText="1"/>
    </xf>
    <xf numFmtId="0" fontId="0" fillId="0" borderId="0" xfId="0" applyFill="1" applyBorder="1"/>
    <xf numFmtId="0" fontId="1" fillId="0" borderId="0" xfId="0" applyNumberFormat="1" applyFont="1" applyBorder="1" applyAlignment="1">
      <alignment horizontal="left" wrapText="1"/>
    </xf>
    <xf numFmtId="0" fontId="3" fillId="0" borderId="1" xfId="0" applyNumberFormat="1" applyFont="1" applyBorder="1" applyAlignment="1">
      <alignment horizontal="right" wrapText="1"/>
    </xf>
    <xf numFmtId="0" fontId="1" fillId="0" borderId="4" xfId="0" applyNumberFormat="1" applyFont="1" applyBorder="1" applyAlignment="1">
      <alignment horizontal="right" wrapText="1"/>
    </xf>
    <xf numFmtId="0" fontId="3" fillId="0" borderId="4" xfId="0" applyNumberFormat="1" applyFont="1" applyBorder="1" applyAlignment="1">
      <alignment horizontal="right" wrapText="1"/>
    </xf>
    <xf numFmtId="0" fontId="2" fillId="0" borderId="3" xfId="0" applyFont="1" applyFill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left" wrapText="1"/>
    </xf>
    <xf numFmtId="0" fontId="4" fillId="0" borderId="3" xfId="0" applyFont="1" applyFill="1" applyBorder="1"/>
    <xf numFmtId="0" fontId="4" fillId="0" borderId="6" xfId="0" applyFont="1" applyFill="1" applyBorder="1"/>
    <xf numFmtId="0" fontId="2" fillId="0" borderId="0" xfId="0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4" fillId="0" borderId="7" xfId="0" applyFont="1" applyFill="1" applyBorder="1"/>
    <xf numFmtId="0" fontId="1" fillId="0" borderId="9" xfId="0" applyNumberFormat="1" applyFont="1" applyBorder="1" applyAlignment="1">
      <alignment horizontal="left" wrapText="1"/>
    </xf>
    <xf numFmtId="0" fontId="0" fillId="0" borderId="3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3" fillId="0" borderId="8" xfId="0" applyNumberFormat="1" applyFont="1" applyBorder="1" applyAlignment="1">
      <alignment horizontal="right" wrapText="1"/>
    </xf>
    <xf numFmtId="0" fontId="3" fillId="0" borderId="5" xfId="0" applyNumberFormat="1" applyFont="1" applyBorder="1" applyAlignment="1">
      <alignment horizontal="right" wrapText="1"/>
    </xf>
    <xf numFmtId="0" fontId="3" fillId="0" borderId="9" xfId="0" applyNumberFormat="1" applyFont="1" applyBorder="1" applyAlignment="1">
      <alignment horizontal="right" wrapText="1"/>
    </xf>
    <xf numFmtId="0" fontId="3" fillId="0" borderId="2" xfId="0" applyNumberFormat="1" applyFont="1" applyBorder="1" applyAlignment="1">
      <alignment horizontal="right" wrapText="1"/>
    </xf>
    <xf numFmtId="0" fontId="4" fillId="0" borderId="0" xfId="0" applyFont="1" applyFill="1" applyBorder="1"/>
    <xf numFmtId="0" fontId="3" fillId="0" borderId="0" xfId="0" applyNumberFormat="1" applyFont="1" applyBorder="1" applyAlignment="1">
      <alignment horizontal="right" wrapText="1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Fill="1" applyBorder="1"/>
    <xf numFmtId="0" fontId="5" fillId="0" borderId="3" xfId="0" applyFont="1" applyBorder="1"/>
    <xf numFmtId="0" fontId="5" fillId="0" borderId="0" xfId="0" applyFont="1"/>
    <xf numFmtId="0" fontId="0" fillId="0" borderId="3" xfId="0" applyBorder="1"/>
    <xf numFmtId="0" fontId="6" fillId="0" borderId="3" xfId="0" applyNumberFormat="1" applyFont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83"/>
  <sheetViews>
    <sheetView tabSelected="1" workbookViewId="0">
      <selection activeCell="C2" sqref="C2"/>
    </sheetView>
  </sheetViews>
  <sheetFormatPr baseColWidth="10" defaultColWidth="12.140625" defaultRowHeight="15"/>
  <cols>
    <col min="1" max="1" width="12.140625" style="15"/>
    <col min="3" max="4" width="12.140625" style="2"/>
  </cols>
  <sheetData>
    <row r="1" spans="1:6" s="1" customFormat="1" ht="15.75">
      <c r="A1" s="38" t="s">
        <v>220</v>
      </c>
      <c r="B1" s="37" t="s">
        <v>1</v>
      </c>
      <c r="C1" s="37" t="s">
        <v>3</v>
      </c>
      <c r="D1" s="37" t="s">
        <v>0</v>
      </c>
      <c r="E1" s="40" t="s">
        <v>2</v>
      </c>
      <c r="F1" s="41" t="s">
        <v>124</v>
      </c>
    </row>
    <row r="2" spans="1:6" s="1" customFormat="1" ht="47.25">
      <c r="A2" s="38" t="s">
        <v>261</v>
      </c>
      <c r="B2" s="37" t="s">
        <v>125</v>
      </c>
      <c r="C2" s="37" t="s">
        <v>164</v>
      </c>
      <c r="D2" s="37">
        <v>6</v>
      </c>
      <c r="E2" s="40">
        <v>66.347999999999999</v>
      </c>
      <c r="F2" s="36">
        <v>0</v>
      </c>
    </row>
    <row r="3" spans="1:6" s="1" customFormat="1" ht="94.5">
      <c r="A3" s="38" t="s">
        <v>250</v>
      </c>
      <c r="B3" s="37" t="s">
        <v>125</v>
      </c>
      <c r="C3" s="37" t="s">
        <v>152</v>
      </c>
      <c r="D3" s="37">
        <v>2</v>
      </c>
      <c r="E3" s="40">
        <v>24.94</v>
      </c>
      <c r="F3" s="36">
        <v>0</v>
      </c>
    </row>
    <row r="4" spans="1:6" s="1" customFormat="1" ht="110.25">
      <c r="A4" s="38" t="s">
        <v>240</v>
      </c>
      <c r="B4" s="37" t="s">
        <v>125</v>
      </c>
      <c r="C4" s="37" t="s">
        <v>98</v>
      </c>
      <c r="D4" s="37">
        <v>3</v>
      </c>
      <c r="E4" s="40">
        <v>34.15</v>
      </c>
      <c r="F4" s="36">
        <v>0</v>
      </c>
    </row>
    <row r="5" spans="1:6" s="1" customFormat="1" ht="47.25">
      <c r="A5" s="38" t="s">
        <v>267</v>
      </c>
      <c r="B5" s="37" t="s">
        <v>125</v>
      </c>
      <c r="C5" s="37" t="s">
        <v>170</v>
      </c>
      <c r="D5" s="37">
        <v>5</v>
      </c>
      <c r="E5" s="40">
        <v>34.15</v>
      </c>
      <c r="F5" s="36">
        <v>0</v>
      </c>
    </row>
    <row r="6" spans="1:6" s="1" customFormat="1" ht="47.25">
      <c r="A6" s="38" t="s">
        <v>283</v>
      </c>
      <c r="B6" s="37" t="s">
        <v>125</v>
      </c>
      <c r="C6" s="37" t="s">
        <v>186</v>
      </c>
      <c r="D6" s="37">
        <v>3</v>
      </c>
      <c r="E6" s="40">
        <v>34.15</v>
      </c>
      <c r="F6" s="36">
        <v>0</v>
      </c>
    </row>
    <row r="7" spans="1:6" s="1" customFormat="1" ht="31.5">
      <c r="A7" s="39" t="s">
        <v>314</v>
      </c>
      <c r="B7" s="39" t="s">
        <v>125</v>
      </c>
      <c r="C7" s="39" t="s">
        <v>217</v>
      </c>
      <c r="D7" s="39">
        <v>3</v>
      </c>
      <c r="E7" s="39">
        <v>34.270000000000003</v>
      </c>
      <c r="F7" s="36">
        <v>0</v>
      </c>
    </row>
    <row r="8" spans="1:6" s="1" customFormat="1" ht="47.25">
      <c r="A8" s="38" t="s">
        <v>301</v>
      </c>
      <c r="B8" s="37" t="s">
        <v>125</v>
      </c>
      <c r="C8" s="37" t="s">
        <v>204</v>
      </c>
      <c r="D8" s="37">
        <v>6</v>
      </c>
      <c r="E8" s="39">
        <v>34.634999999999998</v>
      </c>
      <c r="F8" s="36">
        <v>0</v>
      </c>
    </row>
    <row r="9" spans="1:6" s="1" customFormat="1" ht="47.25">
      <c r="A9" s="39" t="s">
        <v>237</v>
      </c>
      <c r="B9" s="39" t="s">
        <v>125</v>
      </c>
      <c r="C9" s="39" t="s">
        <v>140</v>
      </c>
      <c r="D9" s="39">
        <v>6</v>
      </c>
      <c r="E9" s="40">
        <v>65.968000000000004</v>
      </c>
      <c r="F9" s="36">
        <v>0</v>
      </c>
    </row>
    <row r="10" spans="1:6" s="1" customFormat="1" ht="47.25">
      <c r="A10" s="38" t="s">
        <v>274</v>
      </c>
      <c r="B10" s="37" t="s">
        <v>125</v>
      </c>
      <c r="C10" s="37" t="s">
        <v>177</v>
      </c>
      <c r="D10" s="37">
        <v>3</v>
      </c>
      <c r="E10" s="40">
        <v>43.34</v>
      </c>
      <c r="F10" s="36">
        <v>0</v>
      </c>
    </row>
    <row r="11" spans="1:6" s="1" customFormat="1" ht="47.25">
      <c r="A11" s="38" t="s">
        <v>262</v>
      </c>
      <c r="B11" s="37" t="s">
        <v>125</v>
      </c>
      <c r="C11" s="37" t="s">
        <v>165</v>
      </c>
      <c r="D11" s="37">
        <v>1</v>
      </c>
      <c r="E11" s="40">
        <v>18</v>
      </c>
      <c r="F11" s="36">
        <v>0</v>
      </c>
    </row>
    <row r="12" spans="1:6" s="1" customFormat="1" ht="31.5">
      <c r="A12" s="39" t="s">
        <v>313</v>
      </c>
      <c r="B12" s="39" t="s">
        <v>125</v>
      </c>
      <c r="C12" s="39" t="s">
        <v>216</v>
      </c>
      <c r="D12" s="39">
        <v>2</v>
      </c>
      <c r="E12" s="39">
        <v>5.13</v>
      </c>
      <c r="F12" s="36">
        <v>0</v>
      </c>
    </row>
    <row r="13" spans="1:6" s="1" customFormat="1" ht="47.25">
      <c r="A13" s="39" t="s">
        <v>224</v>
      </c>
      <c r="B13" s="39" t="s">
        <v>125</v>
      </c>
      <c r="C13" s="39" t="s">
        <v>127</v>
      </c>
      <c r="D13" s="39">
        <v>4</v>
      </c>
      <c r="E13" s="40">
        <v>46</v>
      </c>
      <c r="F13" s="36">
        <v>0</v>
      </c>
    </row>
    <row r="14" spans="1:6" s="1" customFormat="1" ht="63">
      <c r="A14" s="38" t="s">
        <v>286</v>
      </c>
      <c r="B14" s="37" t="s">
        <v>125</v>
      </c>
      <c r="C14" s="37" t="s">
        <v>189</v>
      </c>
      <c r="D14" s="37">
        <v>1</v>
      </c>
      <c r="E14" s="40">
        <v>11.5</v>
      </c>
      <c r="F14" s="36">
        <v>0</v>
      </c>
    </row>
    <row r="15" spans="1:6" s="1" customFormat="1" ht="141.75">
      <c r="A15" s="38" t="s">
        <v>235</v>
      </c>
      <c r="B15" s="37" t="s">
        <v>125</v>
      </c>
      <c r="C15" s="37" t="s">
        <v>138</v>
      </c>
      <c r="D15" s="37">
        <v>1</v>
      </c>
      <c r="E15" s="40">
        <v>5.25</v>
      </c>
      <c r="F15" s="36">
        <v>0</v>
      </c>
    </row>
    <row r="16" spans="1:6" s="1" customFormat="1" ht="31.5">
      <c r="A16" s="39" t="s">
        <v>225</v>
      </c>
      <c r="B16" s="39" t="s">
        <v>125</v>
      </c>
      <c r="C16" s="39" t="s">
        <v>128</v>
      </c>
      <c r="D16" s="39">
        <v>1</v>
      </c>
      <c r="E16" s="40">
        <v>15</v>
      </c>
      <c r="F16" s="36">
        <v>0</v>
      </c>
    </row>
    <row r="17" spans="1:6" s="1" customFormat="1" ht="47.25">
      <c r="A17" s="39" t="s">
        <v>315</v>
      </c>
      <c r="B17" s="39" t="s">
        <v>125</v>
      </c>
      <c r="C17" s="39" t="s">
        <v>218</v>
      </c>
      <c r="D17" s="39">
        <v>8</v>
      </c>
      <c r="E17" s="39">
        <v>47.353999999999999</v>
      </c>
      <c r="F17" s="36">
        <v>0</v>
      </c>
    </row>
    <row r="18" spans="1:6" s="1" customFormat="1" ht="157.5">
      <c r="A18" s="38" t="s">
        <v>273</v>
      </c>
      <c r="B18" s="37" t="s">
        <v>125</v>
      </c>
      <c r="C18" s="37" t="s">
        <v>176</v>
      </c>
      <c r="D18" s="37">
        <v>2</v>
      </c>
      <c r="E18" s="40">
        <v>30</v>
      </c>
      <c r="F18" s="36">
        <v>0</v>
      </c>
    </row>
    <row r="19" spans="1:6" s="1" customFormat="1" ht="47.25">
      <c r="A19" s="38" t="s">
        <v>291</v>
      </c>
      <c r="B19" s="37" t="s">
        <v>125</v>
      </c>
      <c r="C19" s="37" t="s">
        <v>194</v>
      </c>
      <c r="D19" s="37">
        <v>3</v>
      </c>
      <c r="E19" s="40">
        <v>45</v>
      </c>
      <c r="F19" s="36">
        <v>0</v>
      </c>
    </row>
    <row r="20" spans="1:6" s="1" customFormat="1" ht="47.25">
      <c r="A20" s="38" t="s">
        <v>256</v>
      </c>
      <c r="B20" s="37" t="s">
        <v>125</v>
      </c>
      <c r="C20" s="37" t="s">
        <v>158</v>
      </c>
      <c r="D20" s="37">
        <v>2</v>
      </c>
      <c r="E20" s="40">
        <v>17.93</v>
      </c>
      <c r="F20" s="36">
        <v>0</v>
      </c>
    </row>
    <row r="21" spans="1:6" s="1" customFormat="1" ht="47.25">
      <c r="A21" s="39" t="s">
        <v>226</v>
      </c>
      <c r="B21" s="39" t="s">
        <v>125</v>
      </c>
      <c r="C21" s="39" t="s">
        <v>129</v>
      </c>
      <c r="D21" s="39">
        <v>2</v>
      </c>
      <c r="E21" s="40">
        <v>17.600000000000001</v>
      </c>
      <c r="F21" s="36">
        <v>0</v>
      </c>
    </row>
    <row r="22" spans="1:6" s="1" customFormat="1" ht="47.25">
      <c r="A22" s="38" t="s">
        <v>297</v>
      </c>
      <c r="B22" s="37" t="s">
        <v>125</v>
      </c>
      <c r="C22" s="37" t="s">
        <v>200</v>
      </c>
      <c r="D22" s="37">
        <v>4</v>
      </c>
      <c r="E22" s="40">
        <v>11.72</v>
      </c>
      <c r="F22" s="36">
        <v>0</v>
      </c>
    </row>
    <row r="23" spans="1:6" s="1" customFormat="1" ht="31.5">
      <c r="A23" s="39" t="s">
        <v>229</v>
      </c>
      <c r="B23" s="39" t="s">
        <v>125</v>
      </c>
      <c r="C23" s="39" t="s">
        <v>132</v>
      </c>
      <c r="D23" s="39">
        <v>1</v>
      </c>
      <c r="E23" s="40">
        <v>15</v>
      </c>
      <c r="F23" s="36">
        <v>0</v>
      </c>
    </row>
    <row r="24" spans="1:6" s="1" customFormat="1" ht="47.25">
      <c r="A24" s="38" t="s">
        <v>228</v>
      </c>
      <c r="B24" s="37" t="s">
        <v>125</v>
      </c>
      <c r="C24" s="37" t="s">
        <v>131</v>
      </c>
      <c r="D24" s="37">
        <v>4</v>
      </c>
      <c r="E24" s="40">
        <v>47.6</v>
      </c>
      <c r="F24" s="36">
        <v>0</v>
      </c>
    </row>
    <row r="25" spans="1:6" s="1" customFormat="1" ht="63">
      <c r="A25" s="38" t="s">
        <v>231</v>
      </c>
      <c r="B25" s="37" t="s">
        <v>125</v>
      </c>
      <c r="C25" s="37" t="s">
        <v>134</v>
      </c>
      <c r="D25" s="37">
        <v>2</v>
      </c>
      <c r="E25" s="40">
        <v>30</v>
      </c>
      <c r="F25" s="36">
        <v>0</v>
      </c>
    </row>
    <row r="26" spans="1:6" s="1" customFormat="1" ht="47.25">
      <c r="A26" s="38" t="s">
        <v>295</v>
      </c>
      <c r="B26" s="37" t="s">
        <v>125</v>
      </c>
      <c r="C26" s="37" t="s">
        <v>198</v>
      </c>
      <c r="D26" s="37">
        <v>4</v>
      </c>
      <c r="E26" s="40">
        <v>60</v>
      </c>
      <c r="F26" s="36">
        <v>0</v>
      </c>
    </row>
    <row r="27" spans="1:6" s="1" customFormat="1" ht="47.25">
      <c r="A27" s="38" t="s">
        <v>266</v>
      </c>
      <c r="B27" s="37" t="s">
        <v>125</v>
      </c>
      <c r="C27" s="37" t="s">
        <v>169</v>
      </c>
      <c r="D27" s="37">
        <v>1</v>
      </c>
      <c r="E27" s="40">
        <v>8.86</v>
      </c>
      <c r="F27" s="36">
        <v>0</v>
      </c>
    </row>
    <row r="28" spans="1:6" s="1" customFormat="1" ht="78.75">
      <c r="A28" s="38" t="s">
        <v>300</v>
      </c>
      <c r="B28" s="37" t="s">
        <v>125</v>
      </c>
      <c r="C28" s="37" t="s">
        <v>203</v>
      </c>
      <c r="D28" s="37">
        <v>6</v>
      </c>
      <c r="E28" s="39">
        <v>76</v>
      </c>
      <c r="F28" s="36">
        <v>0</v>
      </c>
    </row>
    <row r="29" spans="1:6" s="6" customFormat="1" ht="47.25">
      <c r="A29" s="38" t="s">
        <v>293</v>
      </c>
      <c r="B29" s="37" t="s">
        <v>125</v>
      </c>
      <c r="C29" s="37" t="s">
        <v>196</v>
      </c>
      <c r="D29" s="37">
        <v>10</v>
      </c>
      <c r="E29" s="40">
        <v>127.5</v>
      </c>
      <c r="F29" s="36">
        <v>0</v>
      </c>
    </row>
    <row r="30" spans="1:6" s="6" customFormat="1" ht="63">
      <c r="A30" s="38" t="s">
        <v>277</v>
      </c>
      <c r="B30" s="37" t="s">
        <v>125</v>
      </c>
      <c r="C30" s="37" t="s">
        <v>180</v>
      </c>
      <c r="D30" s="37">
        <v>2</v>
      </c>
      <c r="E30" s="40">
        <v>25</v>
      </c>
      <c r="F30" s="36">
        <v>0</v>
      </c>
    </row>
    <row r="31" spans="1:6" s="6" customFormat="1" ht="78.75">
      <c r="A31" s="38" t="s">
        <v>251</v>
      </c>
      <c r="B31" s="37" t="s">
        <v>125</v>
      </c>
      <c r="C31" s="37" t="s">
        <v>153</v>
      </c>
      <c r="D31" s="37">
        <v>6</v>
      </c>
      <c r="E31" s="40">
        <v>80</v>
      </c>
      <c r="F31" s="36">
        <v>0</v>
      </c>
    </row>
    <row r="32" spans="1:6" s="6" customFormat="1" ht="47.25">
      <c r="A32" s="38" t="s">
        <v>272</v>
      </c>
      <c r="B32" s="37" t="s">
        <v>125</v>
      </c>
      <c r="C32" s="37" t="s">
        <v>175</v>
      </c>
      <c r="D32" s="37">
        <v>1</v>
      </c>
      <c r="E32" s="40">
        <v>17</v>
      </c>
      <c r="F32" s="36">
        <v>0</v>
      </c>
    </row>
    <row r="33" spans="1:6" s="6" customFormat="1" ht="47.25">
      <c r="A33" s="38" t="s">
        <v>254</v>
      </c>
      <c r="B33" s="37" t="s">
        <v>125</v>
      </c>
      <c r="C33" s="37" t="s">
        <v>156</v>
      </c>
      <c r="D33" s="37">
        <v>10</v>
      </c>
      <c r="E33" s="40">
        <v>105.425</v>
      </c>
      <c r="F33" s="36">
        <v>0</v>
      </c>
    </row>
    <row r="34" spans="1:6" s="6" customFormat="1" ht="47.25">
      <c r="A34" s="38" t="s">
        <v>263</v>
      </c>
      <c r="B34" s="37" t="s">
        <v>125</v>
      </c>
      <c r="C34" s="37" t="s">
        <v>166</v>
      </c>
      <c r="D34" s="37">
        <v>2</v>
      </c>
      <c r="E34" s="40">
        <v>14.8</v>
      </c>
      <c r="F34" s="36">
        <v>0</v>
      </c>
    </row>
    <row r="35" spans="1:6" s="1" customFormat="1" ht="78.75">
      <c r="A35" s="39" t="s">
        <v>304</v>
      </c>
      <c r="B35" s="39" t="s">
        <v>125</v>
      </c>
      <c r="C35" s="39" t="s">
        <v>207</v>
      </c>
      <c r="D35" s="39">
        <v>3</v>
      </c>
      <c r="E35" s="39">
        <v>34</v>
      </c>
      <c r="F35" s="36">
        <v>0</v>
      </c>
    </row>
    <row r="36" spans="1:6" s="1" customFormat="1" ht="47.25">
      <c r="A36" s="38" t="s">
        <v>264</v>
      </c>
      <c r="B36" s="37" t="s">
        <v>125</v>
      </c>
      <c r="C36" s="37" t="s">
        <v>167</v>
      </c>
      <c r="D36" s="37">
        <v>1</v>
      </c>
      <c r="E36" s="40">
        <v>13</v>
      </c>
      <c r="F36" s="36">
        <v>0</v>
      </c>
    </row>
    <row r="37" spans="1:6" s="1" customFormat="1" ht="94.5">
      <c r="A37" s="38" t="s">
        <v>232</v>
      </c>
      <c r="B37" s="37" t="s">
        <v>125</v>
      </c>
      <c r="C37" s="37" t="s">
        <v>135</v>
      </c>
      <c r="D37" s="37">
        <v>29</v>
      </c>
      <c r="E37" s="40">
        <v>265.12299999999999</v>
      </c>
      <c r="F37" s="36">
        <v>0</v>
      </c>
    </row>
    <row r="38" spans="1:6" s="1" customFormat="1" ht="47.25">
      <c r="A38" s="38" t="s">
        <v>230</v>
      </c>
      <c r="B38" s="37" t="s">
        <v>125</v>
      </c>
      <c r="C38" s="37" t="s">
        <v>133</v>
      </c>
      <c r="D38" s="37">
        <v>1</v>
      </c>
      <c r="E38" s="40">
        <v>12.67</v>
      </c>
      <c r="F38" s="36">
        <v>0</v>
      </c>
    </row>
    <row r="39" spans="1:6" s="1" customFormat="1" ht="47.25">
      <c r="A39" s="38" t="s">
        <v>270</v>
      </c>
      <c r="B39" s="37" t="s">
        <v>125</v>
      </c>
      <c r="C39" s="37" t="s">
        <v>173</v>
      </c>
      <c r="D39" s="37">
        <v>1</v>
      </c>
      <c r="E39" s="40">
        <v>12.67</v>
      </c>
      <c r="F39" s="36">
        <v>0</v>
      </c>
    </row>
    <row r="40" spans="1:6" s="1" customFormat="1" ht="94.5">
      <c r="A40" s="38" t="s">
        <v>302</v>
      </c>
      <c r="B40" s="37" t="s">
        <v>125</v>
      </c>
      <c r="C40" s="37" t="s">
        <v>205</v>
      </c>
      <c r="D40" s="37">
        <v>1</v>
      </c>
      <c r="E40" s="39">
        <v>17</v>
      </c>
      <c r="F40" s="36">
        <v>0</v>
      </c>
    </row>
    <row r="41" spans="1:6" s="1" customFormat="1" ht="47.25">
      <c r="A41" s="38" t="s">
        <v>303</v>
      </c>
      <c r="B41" s="37" t="s">
        <v>125</v>
      </c>
      <c r="C41" s="37" t="s">
        <v>206</v>
      </c>
      <c r="D41" s="37">
        <v>2</v>
      </c>
      <c r="E41" s="39">
        <v>34</v>
      </c>
      <c r="F41" s="36">
        <v>0</v>
      </c>
    </row>
    <row r="42" spans="1:6" s="1" customFormat="1" ht="110.25">
      <c r="A42" s="38" t="s">
        <v>252</v>
      </c>
      <c r="B42" s="37" t="s">
        <v>125</v>
      </c>
      <c r="C42" s="37" t="s">
        <v>154</v>
      </c>
      <c r="D42" s="37">
        <v>2</v>
      </c>
      <c r="E42" s="40">
        <v>30.770000000000003</v>
      </c>
      <c r="F42" s="36">
        <v>0</v>
      </c>
    </row>
    <row r="43" spans="1:6" ht="141.75">
      <c r="A43" s="39" t="s">
        <v>309</v>
      </c>
      <c r="B43" s="39" t="s">
        <v>125</v>
      </c>
      <c r="C43" s="39" t="s">
        <v>212</v>
      </c>
      <c r="D43" s="39">
        <v>2</v>
      </c>
      <c r="E43" s="39">
        <v>36.6</v>
      </c>
      <c r="F43" s="36">
        <v>0</v>
      </c>
    </row>
    <row r="44" spans="1:6" ht="47.25">
      <c r="A44" s="38" t="s">
        <v>278</v>
      </c>
      <c r="B44" s="37" t="s">
        <v>125</v>
      </c>
      <c r="C44" s="37" t="s">
        <v>181</v>
      </c>
      <c r="D44" s="37">
        <v>2</v>
      </c>
      <c r="E44" s="40">
        <v>34</v>
      </c>
      <c r="F44" s="36">
        <v>0</v>
      </c>
    </row>
    <row r="45" spans="1:6" ht="47.25">
      <c r="A45" s="38" t="s">
        <v>275</v>
      </c>
      <c r="B45" s="37" t="s">
        <v>125</v>
      </c>
      <c r="C45" s="37" t="s">
        <v>178</v>
      </c>
      <c r="D45" s="37">
        <v>12</v>
      </c>
      <c r="E45" s="40">
        <v>149.63999999999999</v>
      </c>
      <c r="F45" s="36">
        <v>0</v>
      </c>
    </row>
    <row r="46" spans="1:6" ht="63">
      <c r="A46" s="38" t="s">
        <v>276</v>
      </c>
      <c r="B46" s="37" t="s">
        <v>125</v>
      </c>
      <c r="C46" s="37" t="s">
        <v>179</v>
      </c>
      <c r="D46" s="37">
        <v>6</v>
      </c>
      <c r="E46" s="40">
        <v>111.44</v>
      </c>
      <c r="F46" s="36">
        <v>0</v>
      </c>
    </row>
    <row r="47" spans="1:6" ht="47.25">
      <c r="A47" s="38" t="s">
        <v>258</v>
      </c>
      <c r="B47" s="37" t="s">
        <v>125</v>
      </c>
      <c r="C47" s="37" t="s">
        <v>160</v>
      </c>
      <c r="D47" s="37">
        <v>6</v>
      </c>
      <c r="E47" s="40">
        <v>102</v>
      </c>
      <c r="F47" s="36">
        <v>0</v>
      </c>
    </row>
    <row r="48" spans="1:6" ht="47.25">
      <c r="A48" s="38" t="s">
        <v>227</v>
      </c>
      <c r="B48" s="37" t="s">
        <v>125</v>
      </c>
      <c r="C48" s="37" t="s">
        <v>130</v>
      </c>
      <c r="D48" s="37">
        <v>3</v>
      </c>
      <c r="E48" s="40">
        <v>37</v>
      </c>
      <c r="F48" s="36">
        <v>0</v>
      </c>
    </row>
    <row r="49" spans="1:6" ht="63">
      <c r="A49" s="38" t="s">
        <v>245</v>
      </c>
      <c r="B49" s="37" t="s">
        <v>125</v>
      </c>
      <c r="C49" s="37" t="s">
        <v>147</v>
      </c>
      <c r="D49" s="37">
        <v>1</v>
      </c>
      <c r="E49" s="40">
        <v>14</v>
      </c>
      <c r="F49" s="36">
        <v>0</v>
      </c>
    </row>
    <row r="50" spans="1:6" ht="78.75">
      <c r="A50" s="38" t="s">
        <v>253</v>
      </c>
      <c r="B50" s="37" t="s">
        <v>22</v>
      </c>
      <c r="C50" s="37" t="s">
        <v>155</v>
      </c>
      <c r="D50" s="37">
        <v>761</v>
      </c>
      <c r="E50" s="40">
        <v>973.30499999999995</v>
      </c>
      <c r="F50" s="36">
        <v>0</v>
      </c>
    </row>
    <row r="51" spans="1:6" ht="110.25">
      <c r="A51" s="38" t="s">
        <v>284</v>
      </c>
      <c r="B51" s="37" t="s">
        <v>20</v>
      </c>
      <c r="C51" s="37" t="s">
        <v>187</v>
      </c>
      <c r="D51" s="37">
        <v>2269</v>
      </c>
      <c r="E51" s="40">
        <v>2454.61</v>
      </c>
      <c r="F51" s="36">
        <v>0</v>
      </c>
    </row>
    <row r="52" spans="1:6" ht="47.25">
      <c r="A52" s="38" t="s">
        <v>241</v>
      </c>
      <c r="B52" s="37" t="s">
        <v>20</v>
      </c>
      <c r="C52" s="37" t="s">
        <v>143</v>
      </c>
      <c r="D52" s="37">
        <v>175</v>
      </c>
      <c r="E52" s="40">
        <v>182.352</v>
      </c>
      <c r="F52" s="36">
        <v>0</v>
      </c>
    </row>
    <row r="53" spans="1:6" ht="78.75">
      <c r="A53" s="38" t="s">
        <v>287</v>
      </c>
      <c r="B53" s="37" t="s">
        <v>20</v>
      </c>
      <c r="C53" s="37" t="s">
        <v>190</v>
      </c>
      <c r="D53" s="37">
        <v>152</v>
      </c>
      <c r="E53" s="40">
        <v>214.91900000000001</v>
      </c>
      <c r="F53" s="36">
        <v>0</v>
      </c>
    </row>
    <row r="54" spans="1:6" ht="126">
      <c r="A54" s="38" t="s">
        <v>289</v>
      </c>
      <c r="B54" s="37" t="s">
        <v>20</v>
      </c>
      <c r="C54" s="37" t="s">
        <v>192</v>
      </c>
      <c r="D54" s="37">
        <v>182</v>
      </c>
      <c r="E54" s="40">
        <v>193.15100000000001</v>
      </c>
      <c r="F54" s="36">
        <v>0</v>
      </c>
    </row>
    <row r="55" spans="1:6" ht="110.25">
      <c r="A55" s="39" t="s">
        <v>307</v>
      </c>
      <c r="B55" s="39" t="s">
        <v>20</v>
      </c>
      <c r="C55" s="39" t="s">
        <v>209</v>
      </c>
      <c r="D55" s="39">
        <v>182</v>
      </c>
      <c r="E55" s="39">
        <v>197.23699999999999</v>
      </c>
      <c r="F55" s="36">
        <v>0</v>
      </c>
    </row>
    <row r="56" spans="1:6" ht="63">
      <c r="A56" s="38" t="s">
        <v>288</v>
      </c>
      <c r="B56" s="37" t="s">
        <v>20</v>
      </c>
      <c r="C56" s="37" t="s">
        <v>191</v>
      </c>
      <c r="D56" s="37">
        <v>225</v>
      </c>
      <c r="E56" s="40">
        <v>238.041</v>
      </c>
      <c r="F56" s="36">
        <v>0</v>
      </c>
    </row>
    <row r="57" spans="1:6" ht="31.5">
      <c r="A57" s="38" t="s">
        <v>255</v>
      </c>
      <c r="B57" s="37" t="s">
        <v>20</v>
      </c>
      <c r="C57" s="37" t="s">
        <v>157</v>
      </c>
      <c r="D57" s="37">
        <v>191</v>
      </c>
      <c r="E57" s="40">
        <v>207.756</v>
      </c>
      <c r="F57" s="36">
        <v>0</v>
      </c>
    </row>
    <row r="58" spans="1:6" ht="110.25">
      <c r="A58" s="38" t="s">
        <v>296</v>
      </c>
      <c r="B58" s="37" t="s">
        <v>20</v>
      </c>
      <c r="C58" s="37" t="s">
        <v>199</v>
      </c>
      <c r="D58" s="37">
        <v>182</v>
      </c>
      <c r="E58" s="40">
        <v>365.15</v>
      </c>
      <c r="F58" s="36">
        <v>0</v>
      </c>
    </row>
    <row r="59" spans="1:6" ht="47.25">
      <c r="A59" s="39" t="s">
        <v>306</v>
      </c>
      <c r="B59" s="39" t="s">
        <v>20</v>
      </c>
      <c r="C59" s="39" t="s">
        <v>208</v>
      </c>
      <c r="D59" s="39">
        <v>610</v>
      </c>
      <c r="E59" s="39">
        <v>1279.3720000000001</v>
      </c>
      <c r="F59" s="36">
        <v>0</v>
      </c>
    </row>
    <row r="60" spans="1:6" ht="63">
      <c r="A60" s="38" t="s">
        <v>292</v>
      </c>
      <c r="B60" s="37" t="s">
        <v>20</v>
      </c>
      <c r="C60" s="37" t="s">
        <v>195</v>
      </c>
      <c r="D60" s="37">
        <v>1886</v>
      </c>
      <c r="E60" s="40">
        <v>2032.86</v>
      </c>
      <c r="F60" s="36">
        <v>0</v>
      </c>
    </row>
    <row r="61" spans="1:6" ht="110.25">
      <c r="A61" s="38" t="s">
        <v>290</v>
      </c>
      <c r="B61" s="37" t="s">
        <v>22</v>
      </c>
      <c r="C61" s="37" t="s">
        <v>193</v>
      </c>
      <c r="D61" s="37">
        <v>732</v>
      </c>
      <c r="E61" s="40">
        <v>1153.3789999999999</v>
      </c>
      <c r="F61" s="36">
        <v>0</v>
      </c>
    </row>
    <row r="62" spans="1:6" ht="47.25">
      <c r="A62" s="38" t="s">
        <v>298</v>
      </c>
      <c r="B62" s="37" t="s">
        <v>22</v>
      </c>
      <c r="C62" s="37" t="s">
        <v>201</v>
      </c>
      <c r="D62" s="37">
        <v>174</v>
      </c>
      <c r="E62" s="39">
        <v>291.12900000000002</v>
      </c>
      <c r="F62" s="36">
        <v>0</v>
      </c>
    </row>
    <row r="63" spans="1:6" ht="31.5">
      <c r="A63" s="38" t="s">
        <v>299</v>
      </c>
      <c r="B63" s="37" t="s">
        <v>20</v>
      </c>
      <c r="C63" s="37" t="s">
        <v>202</v>
      </c>
      <c r="D63" s="37">
        <v>600</v>
      </c>
      <c r="E63" s="39">
        <v>638.20000000000005</v>
      </c>
      <c r="F63" s="36">
        <v>0</v>
      </c>
    </row>
    <row r="64" spans="1:6" ht="94.5">
      <c r="A64" s="39" t="s">
        <v>311</v>
      </c>
      <c r="B64" s="39" t="s">
        <v>125</v>
      </c>
      <c r="C64" s="39" t="s">
        <v>214</v>
      </c>
      <c r="D64" s="39">
        <v>4</v>
      </c>
      <c r="E64" s="39">
        <v>38.700000000000003</v>
      </c>
      <c r="F64" s="36">
        <v>0</v>
      </c>
    </row>
    <row r="65" spans="1:6" ht="63">
      <c r="A65" s="39" t="s">
        <v>310</v>
      </c>
      <c r="B65" s="39" t="s">
        <v>125</v>
      </c>
      <c r="C65" s="39" t="s">
        <v>213</v>
      </c>
      <c r="D65" s="39">
        <v>6</v>
      </c>
      <c r="E65" s="39">
        <v>94.41</v>
      </c>
      <c r="F65" s="36">
        <v>0</v>
      </c>
    </row>
    <row r="66" spans="1:6" ht="47.25">
      <c r="A66" s="38" t="s">
        <v>268</v>
      </c>
      <c r="B66" s="37" t="s">
        <v>125</v>
      </c>
      <c r="C66" s="37" t="s">
        <v>171</v>
      </c>
      <c r="D66" s="37">
        <v>2</v>
      </c>
      <c r="E66" s="40">
        <v>32</v>
      </c>
      <c r="F66" s="36">
        <v>0</v>
      </c>
    </row>
    <row r="67" spans="1:6" ht="47.25">
      <c r="A67" s="38" t="s">
        <v>246</v>
      </c>
      <c r="B67" s="37" t="s">
        <v>125</v>
      </c>
      <c r="C67" s="37" t="s">
        <v>148</v>
      </c>
      <c r="D67" s="37">
        <v>5</v>
      </c>
      <c r="E67" s="40">
        <v>80</v>
      </c>
      <c r="F67" s="36">
        <v>0</v>
      </c>
    </row>
    <row r="68" spans="1:6" ht="47.25">
      <c r="A68" s="38" t="s">
        <v>259</v>
      </c>
      <c r="B68" s="37" t="s">
        <v>125</v>
      </c>
      <c r="C68" s="37" t="s">
        <v>161</v>
      </c>
      <c r="D68" s="37">
        <v>2</v>
      </c>
      <c r="E68" s="40">
        <v>30</v>
      </c>
      <c r="F68" s="36">
        <v>0</v>
      </c>
    </row>
    <row r="69" spans="1:6" ht="31.5">
      <c r="A69" s="39" t="s">
        <v>316</v>
      </c>
      <c r="B69" s="39" t="s">
        <v>125</v>
      </c>
      <c r="C69" s="39" t="s">
        <v>219</v>
      </c>
      <c r="D69" s="39">
        <v>1</v>
      </c>
      <c r="E69" s="39">
        <v>15</v>
      </c>
      <c r="F69" s="36">
        <v>0</v>
      </c>
    </row>
    <row r="70" spans="1:6" ht="31.5">
      <c r="A70" s="39" t="s">
        <v>236</v>
      </c>
      <c r="B70" s="39" t="s">
        <v>125</v>
      </c>
      <c r="C70" s="39" t="s">
        <v>139</v>
      </c>
      <c r="D70" s="39">
        <v>1</v>
      </c>
      <c r="E70" s="40">
        <v>12.5</v>
      </c>
      <c r="F70" s="36">
        <v>0</v>
      </c>
    </row>
    <row r="71" spans="1:6" ht="94.5">
      <c r="A71" s="38" t="s">
        <v>244</v>
      </c>
      <c r="B71" s="37" t="s">
        <v>125</v>
      </c>
      <c r="C71" s="37" t="s">
        <v>146</v>
      </c>
      <c r="D71" s="37">
        <v>2</v>
      </c>
      <c r="E71" s="40">
        <v>30</v>
      </c>
      <c r="F71" s="36">
        <v>0</v>
      </c>
    </row>
    <row r="72" spans="1:6" ht="94.5">
      <c r="A72" s="38" t="s">
        <v>257</v>
      </c>
      <c r="B72" s="37" t="s">
        <v>125</v>
      </c>
      <c r="C72" s="37" t="s">
        <v>159</v>
      </c>
      <c r="D72" s="37">
        <v>6</v>
      </c>
      <c r="E72" s="40">
        <v>139.5</v>
      </c>
      <c r="F72" s="36">
        <v>0</v>
      </c>
    </row>
    <row r="73" spans="1:6" ht="78.75">
      <c r="A73" s="38" t="s">
        <v>282</v>
      </c>
      <c r="B73" s="37" t="s">
        <v>125</v>
      </c>
      <c r="C73" s="37" t="s">
        <v>185</v>
      </c>
      <c r="D73" s="37">
        <v>2</v>
      </c>
      <c r="E73" s="40">
        <v>34.1</v>
      </c>
      <c r="F73" s="36">
        <v>0</v>
      </c>
    </row>
    <row r="74" spans="1:6" ht="47.25">
      <c r="A74" s="38" t="s">
        <v>271</v>
      </c>
      <c r="B74" s="37" t="s">
        <v>125</v>
      </c>
      <c r="C74" s="37" t="s">
        <v>174</v>
      </c>
      <c r="D74" s="37">
        <v>3</v>
      </c>
      <c r="E74" s="40">
        <v>34</v>
      </c>
      <c r="F74" s="36">
        <v>0</v>
      </c>
    </row>
    <row r="75" spans="1:6" ht="78.75">
      <c r="A75" s="38" t="s">
        <v>280</v>
      </c>
      <c r="B75" s="37" t="s">
        <v>125</v>
      </c>
      <c r="C75" s="37" t="s">
        <v>183</v>
      </c>
      <c r="D75" s="37">
        <v>5</v>
      </c>
      <c r="E75" s="40">
        <v>66.8</v>
      </c>
      <c r="F75" s="36">
        <v>0</v>
      </c>
    </row>
    <row r="76" spans="1:6" ht="47.25">
      <c r="A76" s="38" t="s">
        <v>269</v>
      </c>
      <c r="B76" s="37" t="s">
        <v>125</v>
      </c>
      <c r="C76" s="37" t="s">
        <v>172</v>
      </c>
      <c r="D76" s="37">
        <v>4</v>
      </c>
      <c r="E76" s="40">
        <v>36.283999999999999</v>
      </c>
      <c r="F76" s="36">
        <v>0</v>
      </c>
    </row>
    <row r="77" spans="1:6" ht="78.75">
      <c r="A77" s="38" t="s">
        <v>294</v>
      </c>
      <c r="B77" s="37" t="s">
        <v>125</v>
      </c>
      <c r="C77" s="37" t="s">
        <v>197</v>
      </c>
      <c r="D77" s="37">
        <v>3</v>
      </c>
      <c r="E77" s="40">
        <v>34.15</v>
      </c>
      <c r="F77" s="36">
        <v>0</v>
      </c>
    </row>
    <row r="78" spans="1:6" ht="126">
      <c r="A78" s="38" t="s">
        <v>285</v>
      </c>
      <c r="B78" s="37" t="s">
        <v>125</v>
      </c>
      <c r="C78" s="37" t="s">
        <v>188</v>
      </c>
      <c r="D78" s="37">
        <v>2</v>
      </c>
      <c r="E78" s="40">
        <v>29.4</v>
      </c>
      <c r="F78" s="36">
        <v>0</v>
      </c>
    </row>
    <row r="79" spans="1:6" ht="63">
      <c r="A79" s="38" t="s">
        <v>249</v>
      </c>
      <c r="B79" s="37" t="s">
        <v>125</v>
      </c>
      <c r="C79" s="37" t="s">
        <v>151</v>
      </c>
      <c r="D79" s="37">
        <v>2</v>
      </c>
      <c r="E79" s="40">
        <v>24.45</v>
      </c>
      <c r="F79" s="36">
        <v>0</v>
      </c>
    </row>
    <row r="80" spans="1:6" ht="47.25">
      <c r="A80" s="38" t="s">
        <v>233</v>
      </c>
      <c r="B80" s="37" t="s">
        <v>125</v>
      </c>
      <c r="C80" s="37" t="s">
        <v>136</v>
      </c>
      <c r="D80" s="37">
        <v>40</v>
      </c>
      <c r="E80" s="40">
        <v>410.601</v>
      </c>
      <c r="F80" s="36">
        <v>0</v>
      </c>
    </row>
    <row r="81" spans="1:6" ht="63">
      <c r="A81" s="38" t="s">
        <v>260</v>
      </c>
      <c r="B81" s="37" t="s">
        <v>22</v>
      </c>
      <c r="C81" s="37" t="s">
        <v>162</v>
      </c>
      <c r="D81" s="37">
        <v>513</v>
      </c>
      <c r="E81" s="40">
        <v>693.52</v>
      </c>
      <c r="F81" s="36">
        <v>0</v>
      </c>
    </row>
    <row r="82" spans="1:6" ht="63">
      <c r="A82" s="38" t="s">
        <v>238</v>
      </c>
      <c r="B82" s="37" t="s">
        <v>125</v>
      </c>
      <c r="C82" s="37" t="s">
        <v>141</v>
      </c>
      <c r="D82" s="37">
        <v>20</v>
      </c>
      <c r="E82" s="40">
        <v>60.2</v>
      </c>
      <c r="F82" s="36">
        <v>0</v>
      </c>
    </row>
    <row r="83" spans="1:6" ht="110.25">
      <c r="A83" s="38" t="s">
        <v>239</v>
      </c>
      <c r="B83" s="37" t="s">
        <v>125</v>
      </c>
      <c r="C83" s="37" t="s">
        <v>142</v>
      </c>
      <c r="D83" s="37">
        <v>2</v>
      </c>
      <c r="E83" s="40">
        <v>36.6</v>
      </c>
      <c r="F83" s="36">
        <v>0</v>
      </c>
    </row>
    <row r="84" spans="1:6" ht="173.25">
      <c r="A84" s="38" t="s">
        <v>243</v>
      </c>
      <c r="B84" s="37" t="s">
        <v>125</v>
      </c>
      <c r="C84" s="37" t="s">
        <v>145</v>
      </c>
      <c r="D84" s="37">
        <v>2</v>
      </c>
      <c r="E84" s="40">
        <v>24.34</v>
      </c>
      <c r="F84" s="36">
        <v>0</v>
      </c>
    </row>
    <row r="85" spans="1:6" ht="94.5">
      <c r="A85" s="38" t="s">
        <v>242</v>
      </c>
      <c r="B85" s="37" t="s">
        <v>125</v>
      </c>
      <c r="C85" s="37" t="s">
        <v>144</v>
      </c>
      <c r="D85" s="37">
        <v>2</v>
      </c>
      <c r="E85" s="40">
        <v>24.34</v>
      </c>
      <c r="F85" s="36">
        <v>0</v>
      </c>
    </row>
    <row r="86" spans="1:6" ht="173.25">
      <c r="A86" s="38" t="s">
        <v>247</v>
      </c>
      <c r="B86" s="37" t="s">
        <v>125</v>
      </c>
      <c r="C86" s="37" t="s">
        <v>149</v>
      </c>
      <c r="D86" s="37">
        <v>2</v>
      </c>
      <c r="E86" s="40">
        <v>32</v>
      </c>
      <c r="F86" s="36">
        <v>0</v>
      </c>
    </row>
    <row r="87" spans="1:6" ht="78.75">
      <c r="A87" s="38" t="s">
        <v>281</v>
      </c>
      <c r="B87" s="37" t="s">
        <v>125</v>
      </c>
      <c r="C87" s="37" t="s">
        <v>184</v>
      </c>
      <c r="D87" s="37">
        <v>4</v>
      </c>
      <c r="E87" s="40">
        <v>33.5</v>
      </c>
      <c r="F87" s="36">
        <v>0</v>
      </c>
    </row>
    <row r="88" spans="1:6" ht="63">
      <c r="A88" s="39" t="s">
        <v>305</v>
      </c>
      <c r="B88" s="39" t="s">
        <v>125</v>
      </c>
      <c r="C88" s="39" t="s">
        <v>111</v>
      </c>
      <c r="D88" s="39">
        <v>4</v>
      </c>
      <c r="E88" s="39">
        <v>46.46</v>
      </c>
      <c r="F88" s="36">
        <v>0</v>
      </c>
    </row>
    <row r="89" spans="1:6" ht="94.5">
      <c r="A89" s="38" t="s">
        <v>248</v>
      </c>
      <c r="B89" s="37" t="s">
        <v>125</v>
      </c>
      <c r="C89" s="37" t="s">
        <v>150</v>
      </c>
      <c r="D89" s="37">
        <v>1</v>
      </c>
      <c r="E89" s="40">
        <v>16.55</v>
      </c>
      <c r="F89" s="36">
        <v>0</v>
      </c>
    </row>
    <row r="90" spans="1:6" ht="47.25">
      <c r="A90" s="39" t="s">
        <v>312</v>
      </c>
      <c r="B90" s="39" t="s">
        <v>125</v>
      </c>
      <c r="C90" s="39" t="s">
        <v>215</v>
      </c>
      <c r="D90" s="39">
        <v>1</v>
      </c>
      <c r="E90" s="39">
        <v>8</v>
      </c>
      <c r="F90" s="36">
        <v>0</v>
      </c>
    </row>
    <row r="91" spans="1:6" ht="94.5">
      <c r="A91" s="38" t="s">
        <v>234</v>
      </c>
      <c r="B91" s="37" t="s">
        <v>125</v>
      </c>
      <c r="C91" s="37" t="s">
        <v>137</v>
      </c>
      <c r="D91" s="37">
        <v>15</v>
      </c>
      <c r="E91" s="40">
        <v>217.5</v>
      </c>
      <c r="F91" s="36">
        <v>0</v>
      </c>
    </row>
    <row r="92" spans="1:6" ht="63">
      <c r="A92" s="38" t="s">
        <v>279</v>
      </c>
      <c r="B92" s="37" t="s">
        <v>125</v>
      </c>
      <c r="C92" s="37" t="s">
        <v>182</v>
      </c>
      <c r="D92" s="37">
        <v>6</v>
      </c>
      <c r="E92" s="40">
        <v>46.8</v>
      </c>
      <c r="F92" s="36">
        <v>0</v>
      </c>
    </row>
    <row r="93" spans="1:6" ht="47.25">
      <c r="A93" s="38" t="s">
        <v>223</v>
      </c>
      <c r="B93" s="37" t="s">
        <v>125</v>
      </c>
      <c r="C93" s="37" t="s">
        <v>126</v>
      </c>
      <c r="D93" s="37">
        <v>1</v>
      </c>
      <c r="E93" s="40">
        <v>31</v>
      </c>
      <c r="F93" s="36">
        <v>0</v>
      </c>
    </row>
    <row r="94" spans="1:6" ht="47.25">
      <c r="A94" s="38" t="s">
        <v>265</v>
      </c>
      <c r="B94" s="37" t="s">
        <v>125</v>
      </c>
      <c r="C94" s="37" t="s">
        <v>168</v>
      </c>
      <c r="D94" s="37">
        <v>1</v>
      </c>
      <c r="E94" s="40">
        <v>15.72</v>
      </c>
      <c r="F94" s="36">
        <v>0</v>
      </c>
    </row>
    <row r="95" spans="1:6" ht="110.25">
      <c r="A95" s="39" t="s">
        <v>308</v>
      </c>
      <c r="B95" s="39" t="s">
        <v>125</v>
      </c>
      <c r="C95" s="39" t="s">
        <v>211</v>
      </c>
      <c r="D95" s="39">
        <v>12</v>
      </c>
      <c r="E95" s="39">
        <v>166.8</v>
      </c>
      <c r="F95" s="36">
        <v>0</v>
      </c>
    </row>
    <row r="96" spans="1:6" ht="47.25">
      <c r="A96" s="39" t="s">
        <v>222</v>
      </c>
      <c r="B96" s="39" t="s">
        <v>163</v>
      </c>
      <c r="C96" s="39" t="s">
        <v>210</v>
      </c>
      <c r="D96" s="39">
        <v>6780</v>
      </c>
      <c r="E96" s="39">
        <v>7491.9</v>
      </c>
      <c r="F96" s="36">
        <v>0</v>
      </c>
    </row>
    <row r="97" spans="1:6" ht="47.25">
      <c r="A97" s="38" t="s">
        <v>221</v>
      </c>
      <c r="B97" s="37" t="s">
        <v>163</v>
      </c>
      <c r="C97" s="37" t="s">
        <v>4</v>
      </c>
      <c r="D97" s="37">
        <v>811</v>
      </c>
      <c r="E97" s="40">
        <v>8180.36</v>
      </c>
      <c r="F97" s="36">
        <v>0</v>
      </c>
    </row>
    <row r="98" spans="1:6">
      <c r="A98"/>
      <c r="C98"/>
      <c r="D98"/>
    </row>
    <row r="99" spans="1:6">
      <c r="A99"/>
      <c r="C99"/>
      <c r="D99"/>
    </row>
    <row r="100" spans="1:6">
      <c r="A100"/>
      <c r="C100"/>
      <c r="D100"/>
    </row>
    <row r="101" spans="1:6">
      <c r="A101"/>
      <c r="C101"/>
      <c r="D101"/>
    </row>
    <row r="102" spans="1:6">
      <c r="A102"/>
      <c r="C102"/>
      <c r="D102"/>
    </row>
    <row r="103" spans="1:6">
      <c r="A103"/>
      <c r="C103"/>
      <c r="D103"/>
    </row>
    <row r="104" spans="1:6">
      <c r="A104"/>
      <c r="C104"/>
      <c r="D104"/>
    </row>
    <row r="105" spans="1:6">
      <c r="A105"/>
      <c r="C105"/>
      <c r="D105"/>
    </row>
    <row r="106" spans="1:6">
      <c r="A106"/>
      <c r="C106"/>
      <c r="D106"/>
    </row>
    <row r="107" spans="1:6">
      <c r="A107"/>
      <c r="C107"/>
      <c r="D107"/>
    </row>
    <row r="108" spans="1:6">
      <c r="A108"/>
      <c r="C108"/>
      <c r="D108"/>
    </row>
    <row r="109" spans="1:6">
      <c r="A109"/>
      <c r="C109"/>
      <c r="D109"/>
    </row>
    <row r="110" spans="1:6">
      <c r="A110"/>
      <c r="C110"/>
      <c r="D110"/>
    </row>
    <row r="111" spans="1:6">
      <c r="A111"/>
      <c r="C111"/>
      <c r="D111"/>
    </row>
    <row r="112" spans="1:6">
      <c r="A112"/>
      <c r="C112"/>
      <c r="D112"/>
    </row>
    <row r="113" spans="1:4">
      <c r="A113"/>
      <c r="C113"/>
      <c r="D113"/>
    </row>
    <row r="114" spans="1:4">
      <c r="A114"/>
      <c r="C114"/>
      <c r="D114"/>
    </row>
    <row r="115" spans="1:4">
      <c r="A115"/>
      <c r="C115"/>
      <c r="D115"/>
    </row>
    <row r="116" spans="1:4">
      <c r="A116"/>
      <c r="C116"/>
      <c r="D116"/>
    </row>
    <row r="117" spans="1:4">
      <c r="A117"/>
      <c r="C117"/>
      <c r="D117"/>
    </row>
    <row r="118" spans="1:4">
      <c r="A118"/>
      <c r="C118"/>
      <c r="D118"/>
    </row>
    <row r="119" spans="1:4">
      <c r="A119"/>
      <c r="C119"/>
      <c r="D119"/>
    </row>
    <row r="120" spans="1:4">
      <c r="A120"/>
      <c r="C120"/>
      <c r="D120"/>
    </row>
    <row r="121" spans="1:4">
      <c r="A121"/>
      <c r="C121"/>
      <c r="D121"/>
    </row>
    <row r="122" spans="1:4">
      <c r="A122"/>
      <c r="C122"/>
      <c r="D122"/>
    </row>
    <row r="123" spans="1:4">
      <c r="A123"/>
      <c r="C123"/>
      <c r="D123"/>
    </row>
    <row r="124" spans="1:4">
      <c r="A124"/>
      <c r="C124"/>
      <c r="D124"/>
    </row>
    <row r="125" spans="1:4">
      <c r="A125"/>
      <c r="C125"/>
      <c r="D125"/>
    </row>
    <row r="126" spans="1:4">
      <c r="A126"/>
      <c r="C126"/>
      <c r="D126"/>
    </row>
    <row r="127" spans="1:4">
      <c r="A127"/>
      <c r="C127"/>
      <c r="D127"/>
    </row>
    <row r="128" spans="1:4">
      <c r="A128"/>
      <c r="C128"/>
      <c r="D128"/>
    </row>
    <row r="129" spans="1:4">
      <c r="A129"/>
      <c r="C129"/>
      <c r="D129"/>
    </row>
    <row r="130" spans="1:4">
      <c r="A130"/>
      <c r="C130"/>
      <c r="D130"/>
    </row>
    <row r="131" spans="1:4">
      <c r="A131"/>
      <c r="C131"/>
      <c r="D131"/>
    </row>
    <row r="132" spans="1:4">
      <c r="A132"/>
      <c r="C132"/>
      <c r="D132"/>
    </row>
    <row r="133" spans="1:4">
      <c r="A133"/>
      <c r="C133"/>
      <c r="D133"/>
    </row>
    <row r="134" spans="1:4">
      <c r="A134"/>
      <c r="C134"/>
      <c r="D134"/>
    </row>
    <row r="135" spans="1:4">
      <c r="A135"/>
      <c r="C135"/>
      <c r="D135"/>
    </row>
    <row r="136" spans="1:4">
      <c r="A136"/>
      <c r="C136"/>
      <c r="D136"/>
    </row>
    <row r="137" spans="1:4">
      <c r="A137"/>
      <c r="C137"/>
      <c r="D137"/>
    </row>
    <row r="138" spans="1:4">
      <c r="A138"/>
      <c r="C138"/>
      <c r="D138"/>
    </row>
    <row r="139" spans="1:4">
      <c r="A139"/>
      <c r="C139"/>
      <c r="D139"/>
    </row>
    <row r="140" spans="1:4">
      <c r="A140"/>
      <c r="C140"/>
      <c r="D140"/>
    </row>
    <row r="141" spans="1:4">
      <c r="A141"/>
      <c r="C141"/>
      <c r="D141"/>
    </row>
    <row r="142" spans="1:4">
      <c r="A142"/>
      <c r="C142"/>
      <c r="D142"/>
    </row>
    <row r="143" spans="1:4">
      <c r="A143"/>
      <c r="C143"/>
      <c r="D143"/>
    </row>
    <row r="144" spans="1:4">
      <c r="A144"/>
      <c r="C144"/>
      <c r="D144"/>
    </row>
    <row r="145" spans="1:4">
      <c r="A145"/>
      <c r="C145"/>
      <c r="D145"/>
    </row>
    <row r="146" spans="1:4">
      <c r="A146"/>
      <c r="C146"/>
      <c r="D146"/>
    </row>
    <row r="147" spans="1:4">
      <c r="A147"/>
      <c r="C147"/>
      <c r="D147"/>
    </row>
    <row r="148" spans="1:4">
      <c r="A148"/>
      <c r="C148"/>
      <c r="D148"/>
    </row>
    <row r="149" spans="1:4">
      <c r="A149"/>
      <c r="C149"/>
      <c r="D149"/>
    </row>
    <row r="150" spans="1:4">
      <c r="A150"/>
      <c r="C150"/>
      <c r="D150"/>
    </row>
    <row r="151" spans="1:4">
      <c r="A151"/>
      <c r="C151"/>
      <c r="D151"/>
    </row>
    <row r="152" spans="1:4">
      <c r="A152"/>
      <c r="C152"/>
      <c r="D152"/>
    </row>
    <row r="153" spans="1:4">
      <c r="A153"/>
      <c r="C153"/>
      <c r="D153"/>
    </row>
    <row r="154" spans="1:4">
      <c r="A154"/>
      <c r="C154"/>
      <c r="D154"/>
    </row>
    <row r="155" spans="1:4">
      <c r="A155"/>
      <c r="C155"/>
      <c r="D155"/>
    </row>
    <row r="156" spans="1:4">
      <c r="A156"/>
      <c r="C156"/>
      <c r="D156"/>
    </row>
    <row r="157" spans="1:4">
      <c r="A157"/>
      <c r="C157"/>
      <c r="D157"/>
    </row>
    <row r="158" spans="1:4">
      <c r="A158"/>
      <c r="C158"/>
      <c r="D158"/>
    </row>
    <row r="159" spans="1:4">
      <c r="A159"/>
      <c r="C159"/>
      <c r="D159"/>
    </row>
    <row r="160" spans="1:4">
      <c r="A160"/>
      <c r="C160"/>
      <c r="D160"/>
    </row>
    <row r="161" spans="1:4">
      <c r="A161"/>
      <c r="C161"/>
      <c r="D161"/>
    </row>
    <row r="162" spans="1:4">
      <c r="A162"/>
      <c r="C162"/>
      <c r="D162"/>
    </row>
    <row r="163" spans="1:4">
      <c r="A163"/>
      <c r="C163"/>
      <c r="D163"/>
    </row>
    <row r="164" spans="1:4">
      <c r="A164"/>
      <c r="C164"/>
      <c r="D164"/>
    </row>
    <row r="165" spans="1:4">
      <c r="A165"/>
      <c r="C165"/>
      <c r="D165"/>
    </row>
    <row r="166" spans="1:4">
      <c r="A166"/>
      <c r="C166"/>
      <c r="D166"/>
    </row>
    <row r="167" spans="1:4">
      <c r="A167"/>
      <c r="C167"/>
      <c r="D167"/>
    </row>
    <row r="168" spans="1:4">
      <c r="A168"/>
      <c r="C168"/>
      <c r="D168"/>
    </row>
    <row r="169" spans="1:4">
      <c r="A169"/>
      <c r="C169"/>
      <c r="D169"/>
    </row>
    <row r="170" spans="1:4">
      <c r="A170"/>
      <c r="C170"/>
      <c r="D170"/>
    </row>
    <row r="171" spans="1:4">
      <c r="A171"/>
      <c r="C171"/>
      <c r="D171"/>
    </row>
    <row r="172" spans="1:4">
      <c r="A172"/>
      <c r="C172"/>
      <c r="D172"/>
    </row>
    <row r="173" spans="1:4">
      <c r="A173"/>
      <c r="C173"/>
      <c r="D173"/>
    </row>
    <row r="174" spans="1:4">
      <c r="A174"/>
      <c r="C174"/>
      <c r="D174"/>
    </row>
    <row r="175" spans="1:4">
      <c r="A175"/>
      <c r="C175"/>
      <c r="D175"/>
    </row>
    <row r="176" spans="1:4">
      <c r="A176"/>
      <c r="C176"/>
      <c r="D176"/>
    </row>
    <row r="177" spans="1:4">
      <c r="A177"/>
      <c r="C177"/>
      <c r="D177"/>
    </row>
    <row r="178" spans="1:4">
      <c r="A178"/>
      <c r="C178"/>
      <c r="D178"/>
    </row>
    <row r="179" spans="1:4">
      <c r="A179"/>
      <c r="C179"/>
      <c r="D179"/>
    </row>
    <row r="180" spans="1:4">
      <c r="A180"/>
      <c r="C180"/>
      <c r="D180"/>
    </row>
    <row r="181" spans="1:4">
      <c r="A181"/>
      <c r="C181"/>
      <c r="D181"/>
    </row>
    <row r="182" spans="1:4">
      <c r="A182"/>
      <c r="C182"/>
      <c r="D182"/>
    </row>
    <row r="183" spans="1:4">
      <c r="A183"/>
      <c r="C183"/>
      <c r="D183"/>
    </row>
    <row r="184" spans="1:4">
      <c r="A184"/>
      <c r="C184"/>
      <c r="D184"/>
    </row>
    <row r="185" spans="1:4">
      <c r="A185"/>
      <c r="C185"/>
      <c r="D185"/>
    </row>
    <row r="186" spans="1:4">
      <c r="A186"/>
      <c r="C186"/>
      <c r="D186"/>
    </row>
    <row r="187" spans="1:4">
      <c r="A187"/>
      <c r="C187"/>
      <c r="D187"/>
    </row>
    <row r="188" spans="1:4">
      <c r="A188"/>
      <c r="C188"/>
      <c r="D188"/>
    </row>
    <row r="189" spans="1:4">
      <c r="A189"/>
      <c r="C189"/>
      <c r="D189"/>
    </row>
    <row r="190" spans="1:4">
      <c r="A190"/>
      <c r="C190"/>
      <c r="D190"/>
    </row>
    <row r="191" spans="1:4">
      <c r="A191"/>
      <c r="C191"/>
      <c r="D191"/>
    </row>
    <row r="192" spans="1:4">
      <c r="A192"/>
      <c r="C192"/>
      <c r="D192"/>
    </row>
    <row r="193" spans="1:4">
      <c r="A193"/>
      <c r="C193"/>
      <c r="D193"/>
    </row>
    <row r="194" spans="1:4">
      <c r="A194"/>
      <c r="C194"/>
      <c r="D194"/>
    </row>
    <row r="195" spans="1:4">
      <c r="A195"/>
      <c r="C195"/>
      <c r="D195"/>
    </row>
    <row r="196" spans="1:4">
      <c r="A196"/>
      <c r="C196"/>
      <c r="D196"/>
    </row>
    <row r="197" spans="1:4">
      <c r="A197"/>
      <c r="C197"/>
      <c r="D197"/>
    </row>
    <row r="198" spans="1:4">
      <c r="A198"/>
      <c r="C198"/>
      <c r="D198"/>
    </row>
    <row r="199" spans="1:4">
      <c r="A199"/>
      <c r="C199"/>
      <c r="D199"/>
    </row>
    <row r="200" spans="1:4">
      <c r="A200"/>
      <c r="C200"/>
      <c r="D200"/>
    </row>
    <row r="201" spans="1:4">
      <c r="A201"/>
      <c r="C201"/>
      <c r="D201"/>
    </row>
    <row r="202" spans="1:4">
      <c r="A202"/>
      <c r="C202"/>
      <c r="D202"/>
    </row>
    <row r="203" spans="1:4">
      <c r="A203"/>
      <c r="C203"/>
      <c r="D203"/>
    </row>
    <row r="204" spans="1:4">
      <c r="A204"/>
      <c r="C204"/>
      <c r="D204"/>
    </row>
    <row r="205" spans="1:4">
      <c r="A205"/>
      <c r="C205"/>
      <c r="D205"/>
    </row>
    <row r="206" spans="1:4">
      <c r="A206"/>
      <c r="C206"/>
      <c r="D206"/>
    </row>
    <row r="207" spans="1:4">
      <c r="A207"/>
      <c r="C207"/>
      <c r="D207"/>
    </row>
    <row r="208" spans="1:4">
      <c r="A208"/>
      <c r="C208"/>
      <c r="D208"/>
    </row>
    <row r="209" spans="1:4">
      <c r="A209"/>
      <c r="C209"/>
      <c r="D209"/>
    </row>
    <row r="210" spans="1:4">
      <c r="A210"/>
      <c r="C210"/>
      <c r="D210"/>
    </row>
    <row r="211" spans="1:4">
      <c r="A211"/>
      <c r="C211"/>
      <c r="D211"/>
    </row>
    <row r="212" spans="1:4">
      <c r="A212"/>
      <c r="C212"/>
      <c r="D212"/>
    </row>
    <row r="213" spans="1:4">
      <c r="A213"/>
      <c r="C213"/>
      <c r="D213"/>
    </row>
    <row r="214" spans="1:4">
      <c r="A214"/>
      <c r="C214"/>
      <c r="D214"/>
    </row>
    <row r="215" spans="1:4">
      <c r="A215"/>
      <c r="C215"/>
      <c r="D215"/>
    </row>
    <row r="216" spans="1:4">
      <c r="A216"/>
      <c r="C216"/>
      <c r="D216"/>
    </row>
    <row r="217" spans="1:4">
      <c r="A217"/>
      <c r="C217"/>
      <c r="D217"/>
    </row>
    <row r="218" spans="1:4">
      <c r="A218"/>
      <c r="C218"/>
      <c r="D218"/>
    </row>
    <row r="219" spans="1:4">
      <c r="A219"/>
      <c r="C219"/>
      <c r="D219"/>
    </row>
    <row r="220" spans="1:4">
      <c r="A220"/>
      <c r="C220"/>
      <c r="D220"/>
    </row>
    <row r="221" spans="1:4">
      <c r="A221"/>
      <c r="C221"/>
      <c r="D221"/>
    </row>
    <row r="222" spans="1:4">
      <c r="A222"/>
      <c r="C222"/>
      <c r="D222"/>
    </row>
    <row r="223" spans="1:4">
      <c r="A223"/>
      <c r="C223"/>
      <c r="D223"/>
    </row>
    <row r="224" spans="1:4">
      <c r="A224"/>
      <c r="C224"/>
      <c r="D224"/>
    </row>
    <row r="225" spans="1:4">
      <c r="A225"/>
      <c r="C225"/>
      <c r="D225"/>
    </row>
    <row r="226" spans="1:4">
      <c r="A226"/>
      <c r="C226"/>
      <c r="D226"/>
    </row>
    <row r="227" spans="1:4">
      <c r="A227"/>
      <c r="C227"/>
      <c r="D227"/>
    </row>
    <row r="228" spans="1:4">
      <c r="A228"/>
      <c r="C228"/>
      <c r="D228"/>
    </row>
    <row r="229" spans="1:4">
      <c r="A229"/>
      <c r="C229"/>
      <c r="D229"/>
    </row>
    <row r="230" spans="1:4">
      <c r="A230"/>
      <c r="C230"/>
      <c r="D230"/>
    </row>
    <row r="231" spans="1:4">
      <c r="A231"/>
      <c r="C231"/>
      <c r="D231"/>
    </row>
    <row r="232" spans="1:4">
      <c r="A232"/>
      <c r="C232"/>
      <c r="D232"/>
    </row>
    <row r="233" spans="1:4">
      <c r="A233"/>
      <c r="C233"/>
      <c r="D233"/>
    </row>
    <row r="234" spans="1:4">
      <c r="A234"/>
      <c r="C234"/>
      <c r="D234"/>
    </row>
    <row r="235" spans="1:4">
      <c r="A235"/>
      <c r="C235"/>
      <c r="D235"/>
    </row>
    <row r="236" spans="1:4">
      <c r="A236"/>
      <c r="C236"/>
      <c r="D236"/>
    </row>
    <row r="237" spans="1:4">
      <c r="A237"/>
      <c r="C237"/>
      <c r="D237"/>
    </row>
    <row r="238" spans="1:4">
      <c r="A238"/>
      <c r="C238"/>
      <c r="D238"/>
    </row>
    <row r="239" spans="1:4">
      <c r="A239"/>
      <c r="C239"/>
      <c r="D239"/>
    </row>
    <row r="240" spans="1:4">
      <c r="A240"/>
      <c r="C240"/>
      <c r="D240"/>
    </row>
    <row r="241" spans="1:4">
      <c r="A241"/>
      <c r="C241"/>
      <c r="D241"/>
    </row>
    <row r="242" spans="1:4">
      <c r="A242"/>
      <c r="C242"/>
      <c r="D242"/>
    </row>
    <row r="243" spans="1:4">
      <c r="A243"/>
      <c r="C243"/>
      <c r="D243"/>
    </row>
    <row r="244" spans="1:4">
      <c r="A244"/>
      <c r="C244"/>
      <c r="D244"/>
    </row>
    <row r="245" spans="1:4">
      <c r="A245"/>
      <c r="C245"/>
      <c r="D245"/>
    </row>
    <row r="246" spans="1:4">
      <c r="A246"/>
      <c r="C246"/>
      <c r="D246"/>
    </row>
    <row r="247" spans="1:4">
      <c r="A247"/>
      <c r="C247"/>
      <c r="D247"/>
    </row>
    <row r="248" spans="1:4">
      <c r="A248"/>
      <c r="C248"/>
      <c r="D248"/>
    </row>
    <row r="249" spans="1:4">
      <c r="A249"/>
      <c r="C249"/>
      <c r="D249"/>
    </row>
    <row r="250" spans="1:4">
      <c r="A250"/>
      <c r="C250"/>
      <c r="D250"/>
    </row>
    <row r="251" spans="1:4">
      <c r="A251"/>
      <c r="C251"/>
      <c r="D251"/>
    </row>
    <row r="252" spans="1:4">
      <c r="A252"/>
      <c r="C252"/>
      <c r="D252"/>
    </row>
    <row r="253" spans="1:4">
      <c r="A253"/>
      <c r="C253"/>
      <c r="D253"/>
    </row>
    <row r="254" spans="1:4">
      <c r="A254"/>
      <c r="C254"/>
      <c r="D254"/>
    </row>
    <row r="255" spans="1:4">
      <c r="A255"/>
      <c r="C255"/>
      <c r="D255"/>
    </row>
    <row r="256" spans="1:4">
      <c r="A256"/>
      <c r="C256"/>
      <c r="D256"/>
    </row>
    <row r="257" spans="1:4">
      <c r="A257"/>
      <c r="C257"/>
      <c r="D257"/>
    </row>
    <row r="258" spans="1:4">
      <c r="A258"/>
      <c r="C258"/>
      <c r="D258"/>
    </row>
    <row r="259" spans="1:4">
      <c r="A259"/>
      <c r="C259"/>
      <c r="D259"/>
    </row>
    <row r="260" spans="1:4">
      <c r="A260"/>
      <c r="C260"/>
      <c r="D260"/>
    </row>
    <row r="261" spans="1:4">
      <c r="A261"/>
      <c r="C261"/>
      <c r="D261"/>
    </row>
    <row r="262" spans="1:4">
      <c r="A262"/>
      <c r="C262"/>
      <c r="D262"/>
    </row>
    <row r="263" spans="1:4">
      <c r="A263"/>
      <c r="C263"/>
      <c r="D263"/>
    </row>
    <row r="264" spans="1:4">
      <c r="A264"/>
      <c r="C264"/>
      <c r="D264"/>
    </row>
    <row r="265" spans="1:4">
      <c r="A265"/>
      <c r="C265"/>
      <c r="D265"/>
    </row>
    <row r="266" spans="1:4">
      <c r="A266"/>
      <c r="C266"/>
      <c r="D266"/>
    </row>
    <row r="267" spans="1:4">
      <c r="A267"/>
      <c r="C267"/>
      <c r="D267"/>
    </row>
    <row r="268" spans="1:4">
      <c r="A268"/>
      <c r="C268"/>
      <c r="D268"/>
    </row>
    <row r="269" spans="1:4">
      <c r="A269"/>
      <c r="C269"/>
      <c r="D269"/>
    </row>
    <row r="270" spans="1:4">
      <c r="A270"/>
      <c r="C270"/>
      <c r="D270"/>
    </row>
    <row r="271" spans="1:4">
      <c r="A271"/>
      <c r="C271"/>
      <c r="D271"/>
    </row>
    <row r="272" spans="1:4">
      <c r="A272"/>
      <c r="C272"/>
      <c r="D272"/>
    </row>
    <row r="273" spans="1:4">
      <c r="A273"/>
      <c r="C273"/>
      <c r="D273"/>
    </row>
    <row r="274" spans="1:4">
      <c r="A274"/>
      <c r="C274"/>
      <c r="D274"/>
    </row>
    <row r="275" spans="1:4">
      <c r="A275"/>
      <c r="C275"/>
      <c r="D275"/>
    </row>
    <row r="276" spans="1:4">
      <c r="A276"/>
      <c r="C276"/>
      <c r="D276"/>
    </row>
    <row r="277" spans="1:4">
      <c r="A277"/>
      <c r="C277"/>
      <c r="D277"/>
    </row>
    <row r="278" spans="1:4">
      <c r="A278"/>
      <c r="C278"/>
      <c r="D278"/>
    </row>
    <row r="279" spans="1:4">
      <c r="A279"/>
      <c r="C279"/>
      <c r="D279"/>
    </row>
    <row r="280" spans="1:4">
      <c r="A280"/>
      <c r="C280"/>
      <c r="D280"/>
    </row>
    <row r="281" spans="1:4">
      <c r="A281"/>
      <c r="C281"/>
      <c r="D281"/>
    </row>
    <row r="282" spans="1:4">
      <c r="A282"/>
      <c r="C282"/>
      <c r="D282"/>
    </row>
    <row r="283" spans="1:4">
      <c r="A283"/>
      <c r="C283"/>
      <c r="D283"/>
    </row>
    <row r="284" spans="1:4">
      <c r="A284"/>
      <c r="C284"/>
      <c r="D284"/>
    </row>
    <row r="285" spans="1:4">
      <c r="A285"/>
      <c r="C285"/>
      <c r="D285"/>
    </row>
    <row r="286" spans="1:4">
      <c r="A286"/>
      <c r="C286"/>
      <c r="D286"/>
    </row>
    <row r="287" spans="1:4">
      <c r="A287"/>
      <c r="C287"/>
      <c r="D287"/>
    </row>
    <row r="288" spans="1:4">
      <c r="A288"/>
      <c r="C288"/>
      <c r="D288"/>
    </row>
    <row r="289" spans="1:4">
      <c r="A289"/>
      <c r="C289"/>
      <c r="D289"/>
    </row>
    <row r="290" spans="1:4">
      <c r="A290"/>
      <c r="C290"/>
      <c r="D290"/>
    </row>
    <row r="291" spans="1:4">
      <c r="A291"/>
      <c r="C291"/>
      <c r="D291"/>
    </row>
    <row r="292" spans="1:4">
      <c r="A292"/>
      <c r="C292"/>
      <c r="D292"/>
    </row>
    <row r="293" spans="1:4">
      <c r="A293"/>
      <c r="C293"/>
      <c r="D293"/>
    </row>
    <row r="294" spans="1:4">
      <c r="A294"/>
      <c r="C294"/>
      <c r="D294"/>
    </row>
    <row r="295" spans="1:4">
      <c r="A295"/>
      <c r="C295"/>
      <c r="D295"/>
    </row>
    <row r="296" spans="1:4">
      <c r="A296"/>
      <c r="C296"/>
      <c r="D296"/>
    </row>
    <row r="297" spans="1:4">
      <c r="A297"/>
      <c r="C297"/>
      <c r="D297"/>
    </row>
    <row r="298" spans="1:4">
      <c r="A298"/>
      <c r="C298"/>
      <c r="D298"/>
    </row>
    <row r="299" spans="1:4">
      <c r="A299"/>
      <c r="C299"/>
      <c r="D299"/>
    </row>
    <row r="300" spans="1:4">
      <c r="A300"/>
      <c r="C300"/>
      <c r="D300"/>
    </row>
    <row r="301" spans="1:4">
      <c r="A301"/>
      <c r="C301"/>
      <c r="D301"/>
    </row>
    <row r="302" spans="1:4">
      <c r="A302"/>
      <c r="C302"/>
      <c r="D302"/>
    </row>
    <row r="303" spans="1:4">
      <c r="A303"/>
      <c r="C303"/>
      <c r="D303"/>
    </row>
    <row r="304" spans="1:4">
      <c r="A304"/>
      <c r="C304"/>
      <c r="D304"/>
    </row>
    <row r="305" spans="1:4">
      <c r="A305"/>
      <c r="C305"/>
      <c r="D305"/>
    </row>
    <row r="306" spans="1:4">
      <c r="A306"/>
      <c r="C306"/>
      <c r="D306"/>
    </row>
    <row r="307" spans="1:4">
      <c r="A307"/>
      <c r="C307"/>
      <c r="D307"/>
    </row>
    <row r="308" spans="1:4">
      <c r="A308"/>
      <c r="C308"/>
      <c r="D308"/>
    </row>
    <row r="309" spans="1:4">
      <c r="A309"/>
      <c r="C309"/>
      <c r="D309"/>
    </row>
    <row r="310" spans="1:4">
      <c r="A310"/>
      <c r="C310"/>
      <c r="D310"/>
    </row>
    <row r="311" spans="1:4">
      <c r="A311"/>
      <c r="C311"/>
      <c r="D311"/>
    </row>
    <row r="312" spans="1:4">
      <c r="A312"/>
      <c r="C312"/>
      <c r="D312"/>
    </row>
    <row r="313" spans="1:4">
      <c r="A313"/>
      <c r="C313"/>
      <c r="D313"/>
    </row>
    <row r="314" spans="1:4">
      <c r="A314"/>
      <c r="C314"/>
      <c r="D314"/>
    </row>
    <row r="315" spans="1:4">
      <c r="A315"/>
      <c r="C315"/>
      <c r="D315"/>
    </row>
    <row r="316" spans="1:4">
      <c r="A316"/>
      <c r="C316"/>
      <c r="D316"/>
    </row>
    <row r="317" spans="1:4">
      <c r="A317"/>
      <c r="C317"/>
      <c r="D317"/>
    </row>
    <row r="318" spans="1:4">
      <c r="A318"/>
      <c r="C318"/>
      <c r="D318"/>
    </row>
    <row r="319" spans="1:4">
      <c r="A319"/>
      <c r="C319"/>
      <c r="D319"/>
    </row>
    <row r="320" spans="1:4">
      <c r="A320"/>
      <c r="C320"/>
      <c r="D320"/>
    </row>
    <row r="321" spans="1:4">
      <c r="A321"/>
      <c r="C321"/>
      <c r="D321"/>
    </row>
    <row r="322" spans="1:4">
      <c r="A322"/>
      <c r="C322"/>
      <c r="D322"/>
    </row>
    <row r="323" spans="1:4">
      <c r="A323"/>
      <c r="C323"/>
      <c r="D323"/>
    </row>
    <row r="324" spans="1:4">
      <c r="A324"/>
      <c r="C324"/>
      <c r="D324"/>
    </row>
    <row r="325" spans="1:4">
      <c r="A325"/>
      <c r="C325"/>
      <c r="D325"/>
    </row>
    <row r="326" spans="1:4">
      <c r="A326"/>
      <c r="C326"/>
      <c r="D326"/>
    </row>
    <row r="327" spans="1:4">
      <c r="A327"/>
      <c r="C327"/>
      <c r="D327"/>
    </row>
    <row r="328" spans="1:4">
      <c r="A328"/>
      <c r="C328"/>
      <c r="D328"/>
    </row>
    <row r="329" spans="1:4">
      <c r="A329"/>
      <c r="C329"/>
      <c r="D329"/>
    </row>
    <row r="330" spans="1:4">
      <c r="A330"/>
      <c r="C330"/>
      <c r="D330"/>
    </row>
    <row r="331" spans="1:4">
      <c r="A331"/>
      <c r="C331"/>
      <c r="D331"/>
    </row>
    <row r="332" spans="1:4">
      <c r="A332"/>
      <c r="C332"/>
      <c r="D332"/>
    </row>
    <row r="333" spans="1:4">
      <c r="A333"/>
      <c r="C333"/>
      <c r="D333"/>
    </row>
    <row r="334" spans="1:4">
      <c r="A334"/>
      <c r="C334"/>
      <c r="D334"/>
    </row>
    <row r="335" spans="1:4">
      <c r="A335"/>
      <c r="C335"/>
      <c r="D335"/>
    </row>
    <row r="336" spans="1:4">
      <c r="A336"/>
      <c r="C336"/>
      <c r="D336"/>
    </row>
    <row r="337" spans="1:4">
      <c r="A337"/>
      <c r="C337"/>
      <c r="D337"/>
    </row>
    <row r="338" spans="1:4">
      <c r="A338"/>
      <c r="C338"/>
      <c r="D338"/>
    </row>
    <row r="339" spans="1:4">
      <c r="A339"/>
      <c r="C339"/>
      <c r="D339"/>
    </row>
    <row r="340" spans="1:4">
      <c r="A340"/>
      <c r="C340"/>
      <c r="D340"/>
    </row>
    <row r="341" spans="1:4">
      <c r="A341"/>
      <c r="C341"/>
      <c r="D341"/>
    </row>
    <row r="342" spans="1:4">
      <c r="A342"/>
      <c r="C342"/>
      <c r="D342"/>
    </row>
    <row r="343" spans="1:4">
      <c r="A343"/>
      <c r="C343"/>
      <c r="D343"/>
    </row>
    <row r="344" spans="1:4">
      <c r="A344"/>
      <c r="C344"/>
      <c r="D344"/>
    </row>
    <row r="345" spans="1:4">
      <c r="A345"/>
      <c r="C345"/>
      <c r="D345"/>
    </row>
    <row r="346" spans="1:4">
      <c r="A346"/>
      <c r="C346"/>
      <c r="D346"/>
    </row>
    <row r="347" spans="1:4">
      <c r="A347"/>
      <c r="C347"/>
      <c r="D347"/>
    </row>
    <row r="348" spans="1:4">
      <c r="A348"/>
      <c r="C348"/>
      <c r="D348"/>
    </row>
    <row r="349" spans="1:4">
      <c r="A349"/>
      <c r="C349"/>
      <c r="D349"/>
    </row>
    <row r="350" spans="1:4">
      <c r="A350"/>
      <c r="C350"/>
      <c r="D350"/>
    </row>
    <row r="351" spans="1:4">
      <c r="A351"/>
      <c r="C351"/>
      <c r="D351"/>
    </row>
    <row r="352" spans="1:4">
      <c r="A352"/>
      <c r="C352"/>
      <c r="D352"/>
    </row>
    <row r="353" spans="1:4">
      <c r="A353"/>
      <c r="C353"/>
      <c r="D353"/>
    </row>
    <row r="354" spans="1:4">
      <c r="A354"/>
      <c r="C354"/>
      <c r="D354"/>
    </row>
    <row r="355" spans="1:4">
      <c r="A355"/>
      <c r="C355"/>
      <c r="D355"/>
    </row>
    <row r="356" spans="1:4">
      <c r="A356"/>
      <c r="C356"/>
      <c r="D356"/>
    </row>
    <row r="357" spans="1:4">
      <c r="A357"/>
      <c r="C357"/>
      <c r="D357"/>
    </row>
    <row r="358" spans="1:4">
      <c r="A358"/>
      <c r="C358"/>
      <c r="D358"/>
    </row>
    <row r="359" spans="1:4">
      <c r="A359"/>
      <c r="C359"/>
      <c r="D359"/>
    </row>
    <row r="360" spans="1:4">
      <c r="A360"/>
      <c r="C360"/>
      <c r="D360"/>
    </row>
    <row r="361" spans="1:4">
      <c r="A361"/>
      <c r="C361"/>
      <c r="D361"/>
    </row>
    <row r="362" spans="1:4">
      <c r="A362"/>
      <c r="C362"/>
      <c r="D362"/>
    </row>
    <row r="363" spans="1:4">
      <c r="A363"/>
      <c r="C363"/>
      <c r="D363"/>
    </row>
    <row r="364" spans="1:4">
      <c r="A364"/>
      <c r="C364"/>
      <c r="D364"/>
    </row>
    <row r="365" spans="1:4">
      <c r="A365"/>
      <c r="C365"/>
      <c r="D365"/>
    </row>
    <row r="366" spans="1:4">
      <c r="A366"/>
      <c r="C366"/>
      <c r="D366"/>
    </row>
    <row r="367" spans="1:4">
      <c r="A367"/>
      <c r="C367"/>
      <c r="D367"/>
    </row>
    <row r="368" spans="1:4">
      <c r="A368"/>
      <c r="C368"/>
      <c r="D368"/>
    </row>
    <row r="369" spans="1:6">
      <c r="A369"/>
      <c r="C369"/>
      <c r="D369"/>
    </row>
    <row r="370" spans="1:6">
      <c r="A370"/>
      <c r="C370"/>
      <c r="D370"/>
    </row>
    <row r="371" spans="1:6">
      <c r="A371"/>
      <c r="C371"/>
      <c r="D371"/>
    </row>
    <row r="372" spans="1:6">
      <c r="A372"/>
      <c r="C372"/>
      <c r="D372"/>
    </row>
    <row r="373" spans="1:6">
      <c r="A373"/>
      <c r="C373"/>
      <c r="D373"/>
    </row>
    <row r="374" spans="1:6">
      <c r="A374"/>
      <c r="C374"/>
      <c r="D374"/>
    </row>
    <row r="375" spans="1:6">
      <c r="A375"/>
      <c r="C375"/>
      <c r="D375"/>
    </row>
    <row r="376" spans="1:6">
      <c r="A376"/>
      <c r="C376"/>
      <c r="D376"/>
    </row>
    <row r="377" spans="1:6">
      <c r="A377"/>
      <c r="C377"/>
      <c r="D377"/>
    </row>
    <row r="378" spans="1:6">
      <c r="A378" s="26"/>
      <c r="B378" s="27"/>
      <c r="C378" s="27"/>
      <c r="D378" s="7"/>
      <c r="E378" s="1"/>
      <c r="F378" s="1"/>
    </row>
    <row r="379" spans="1:6">
      <c r="A379" s="26"/>
      <c r="B379" s="27"/>
      <c r="C379" s="27"/>
      <c r="D379" s="7"/>
      <c r="E379" s="1"/>
      <c r="F379" s="1"/>
    </row>
    <row r="380" spans="1:6">
      <c r="A380" s="26"/>
      <c r="B380" s="27"/>
      <c r="C380" s="27"/>
      <c r="D380" s="7"/>
      <c r="E380" s="1"/>
      <c r="F380" s="1"/>
    </row>
    <row r="381" spans="1:6">
      <c r="A381" s="26"/>
      <c r="B381" s="27"/>
      <c r="C381" s="27"/>
      <c r="D381" s="7"/>
      <c r="E381" s="1"/>
      <c r="F381" s="1"/>
    </row>
    <row r="382" spans="1:6">
      <c r="A382" s="26"/>
      <c r="B382" s="27"/>
      <c r="C382" s="27"/>
      <c r="D382" s="7"/>
      <c r="E382" s="1"/>
      <c r="F382" s="1"/>
    </row>
    <row r="383" spans="1:6" s="29" customFormat="1">
      <c r="A383" s="28"/>
      <c r="D383" s="30"/>
    </row>
  </sheetData>
  <autoFilter ref="A1:E97">
    <sortState ref="A2:E97">
      <sortCondition ref="A1"/>
    </sortState>
  </autoFilter>
  <conditionalFormatting sqref="C144:C1048576">
    <cfRule type="duplicateValues" dxfId="1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86"/>
  <sheetViews>
    <sheetView zoomScale="115" zoomScaleNormal="115" workbookViewId="0">
      <selection activeCell="B13" sqref="B13"/>
    </sheetView>
  </sheetViews>
  <sheetFormatPr baseColWidth="10" defaultColWidth="11.42578125" defaultRowHeight="15"/>
  <cols>
    <col min="1" max="1" width="14.5703125" style="15" customWidth="1"/>
    <col min="2" max="2" width="15.140625" customWidth="1"/>
    <col min="3" max="3" width="9.5703125" style="2" customWidth="1"/>
    <col min="4" max="4" width="44.140625" style="2" customWidth="1"/>
  </cols>
  <sheetData>
    <row r="1" spans="1:6" s="16" customFormat="1" ht="21" customHeight="1">
      <c r="A1" s="11" t="s">
        <v>1</v>
      </c>
      <c r="B1" s="19" t="s">
        <v>0</v>
      </c>
      <c r="C1" s="20" t="s">
        <v>2</v>
      </c>
      <c r="D1" s="20" t="s">
        <v>3</v>
      </c>
      <c r="E1" s="21" t="s">
        <v>0</v>
      </c>
      <c r="F1" s="21" t="s">
        <v>2</v>
      </c>
    </row>
    <row r="2" spans="1:6" s="1" customFormat="1" ht="26.25">
      <c r="A2" s="17" t="s">
        <v>122</v>
      </c>
      <c r="B2" s="22">
        <v>1</v>
      </c>
      <c r="C2" s="24">
        <v>31.6</v>
      </c>
      <c r="D2" s="18" t="s">
        <v>104</v>
      </c>
      <c r="E2" s="1">
        <f t="shared" ref="E2:E33" si="0">SUMIF(D2:D379,D2, B2:B379)</f>
        <v>3</v>
      </c>
      <c r="F2" s="1">
        <f t="shared" ref="F2:F33" si="1">SUMIF(D2:D379,D2, C2:C379)</f>
        <v>63.2</v>
      </c>
    </row>
    <row r="3" spans="1:6" s="1" customFormat="1" ht="26.25">
      <c r="A3" s="13" t="s">
        <v>122</v>
      </c>
      <c r="B3" s="10">
        <v>2</v>
      </c>
      <c r="C3" s="8">
        <v>31.6</v>
      </c>
      <c r="D3" s="3" t="s">
        <v>104</v>
      </c>
      <c r="E3" s="1">
        <f t="shared" si="0"/>
        <v>2</v>
      </c>
      <c r="F3" s="1">
        <f t="shared" si="1"/>
        <v>31.6</v>
      </c>
    </row>
    <row r="4" spans="1:6" s="1" customFormat="1">
      <c r="A4" s="13" t="s">
        <v>122</v>
      </c>
      <c r="B4" s="10">
        <v>1</v>
      </c>
      <c r="C4" s="8">
        <v>16.420000000000002</v>
      </c>
      <c r="D4" s="3" t="s">
        <v>92</v>
      </c>
      <c r="E4" s="1">
        <f t="shared" si="0"/>
        <v>3</v>
      </c>
      <c r="F4" s="1">
        <f t="shared" si="1"/>
        <v>33.040000000000006</v>
      </c>
    </row>
    <row r="5" spans="1:6" s="1" customFormat="1">
      <c r="A5" s="13" t="s">
        <v>122</v>
      </c>
      <c r="B5" s="10">
        <v>1</v>
      </c>
      <c r="C5" s="8">
        <v>0.2</v>
      </c>
      <c r="D5" s="3" t="s">
        <v>92</v>
      </c>
      <c r="E5" s="1">
        <f t="shared" si="0"/>
        <v>2</v>
      </c>
      <c r="F5" s="1">
        <f t="shared" si="1"/>
        <v>16.62</v>
      </c>
    </row>
    <row r="6" spans="1:6" s="1" customFormat="1">
      <c r="A6" s="13" t="s">
        <v>122</v>
      </c>
      <c r="B6" s="10">
        <v>1</v>
      </c>
      <c r="C6" s="8">
        <v>16.420000000000002</v>
      </c>
      <c r="D6" s="3" t="s">
        <v>92</v>
      </c>
      <c r="E6" s="1">
        <f t="shared" si="0"/>
        <v>1</v>
      </c>
      <c r="F6" s="1">
        <f t="shared" si="1"/>
        <v>16.420000000000002</v>
      </c>
    </row>
    <row r="7" spans="1:6" s="1" customFormat="1" ht="26.25">
      <c r="A7" s="13" t="s">
        <v>122</v>
      </c>
      <c r="B7" s="10">
        <v>1</v>
      </c>
      <c r="C7" s="8">
        <v>1.9950000000000001</v>
      </c>
      <c r="D7" s="3" t="s">
        <v>37</v>
      </c>
      <c r="E7" s="1">
        <f t="shared" si="0"/>
        <v>2</v>
      </c>
      <c r="F7" s="1">
        <f t="shared" si="1"/>
        <v>3.99</v>
      </c>
    </row>
    <row r="8" spans="1:6" s="1" customFormat="1" ht="26.25">
      <c r="A8" s="13" t="s">
        <v>122</v>
      </c>
      <c r="B8" s="10">
        <v>1</v>
      </c>
      <c r="C8" s="8">
        <v>1.9950000000000001</v>
      </c>
      <c r="D8" s="3" t="s">
        <v>37</v>
      </c>
      <c r="E8" s="1">
        <f t="shared" si="0"/>
        <v>1</v>
      </c>
      <c r="F8" s="1">
        <f t="shared" si="1"/>
        <v>1.9950000000000001</v>
      </c>
    </row>
    <row r="9" spans="1:6" s="1" customFormat="1" ht="26.25">
      <c r="A9" s="13" t="s">
        <v>122</v>
      </c>
      <c r="B9" s="10">
        <v>1</v>
      </c>
      <c r="C9" s="8">
        <v>1.9950000000000001</v>
      </c>
      <c r="D9" s="3" t="s">
        <v>38</v>
      </c>
      <c r="E9" s="1">
        <f t="shared" si="0"/>
        <v>4</v>
      </c>
      <c r="F9" s="1">
        <f t="shared" si="1"/>
        <v>7.98</v>
      </c>
    </row>
    <row r="10" spans="1:6" s="1" customFormat="1" ht="26.25">
      <c r="A10" s="13" t="s">
        <v>122</v>
      </c>
      <c r="B10" s="10">
        <v>1</v>
      </c>
      <c r="C10" s="8">
        <v>1.9950000000000001</v>
      </c>
      <c r="D10" s="3" t="s">
        <v>38</v>
      </c>
      <c r="E10" s="1">
        <f t="shared" si="0"/>
        <v>3</v>
      </c>
      <c r="F10" s="1">
        <f t="shared" si="1"/>
        <v>5.9850000000000003</v>
      </c>
    </row>
    <row r="11" spans="1:6" s="1" customFormat="1" ht="26.25">
      <c r="A11" s="13" t="s">
        <v>122</v>
      </c>
      <c r="B11" s="10">
        <v>2</v>
      </c>
      <c r="C11" s="8">
        <v>3.99</v>
      </c>
      <c r="D11" s="3" t="s">
        <v>38</v>
      </c>
      <c r="E11" s="1">
        <f t="shared" si="0"/>
        <v>2</v>
      </c>
      <c r="F11" s="1">
        <f t="shared" si="1"/>
        <v>3.99</v>
      </c>
    </row>
    <row r="12" spans="1:6" s="1" customFormat="1">
      <c r="A12" s="13" t="s">
        <v>122</v>
      </c>
      <c r="B12" s="10">
        <v>1</v>
      </c>
      <c r="C12" s="8">
        <v>13.3</v>
      </c>
      <c r="D12" s="3" t="s">
        <v>36</v>
      </c>
      <c r="E12" s="1">
        <f t="shared" si="0"/>
        <v>159</v>
      </c>
      <c r="F12" s="1">
        <f t="shared" si="1"/>
        <v>271.77200000000005</v>
      </c>
    </row>
    <row r="13" spans="1:6" s="1" customFormat="1">
      <c r="A13" s="13" t="s">
        <v>122</v>
      </c>
      <c r="B13" s="10">
        <v>1</v>
      </c>
      <c r="C13" s="8">
        <v>13.3</v>
      </c>
      <c r="D13" s="3" t="s">
        <v>36</v>
      </c>
      <c r="E13" s="1">
        <f t="shared" si="0"/>
        <v>158</v>
      </c>
      <c r="F13" s="1">
        <f t="shared" si="1"/>
        <v>258.47199999999998</v>
      </c>
    </row>
    <row r="14" spans="1:6" s="1" customFormat="1">
      <c r="A14" s="13" t="s">
        <v>122</v>
      </c>
      <c r="B14" s="10">
        <v>1</v>
      </c>
      <c r="C14" s="8">
        <v>13.3</v>
      </c>
      <c r="D14" s="3" t="s">
        <v>36</v>
      </c>
      <c r="E14" s="1">
        <f t="shared" si="0"/>
        <v>157</v>
      </c>
      <c r="F14" s="1">
        <f t="shared" si="1"/>
        <v>245.172</v>
      </c>
    </row>
    <row r="15" spans="1:6" s="1" customFormat="1">
      <c r="A15" s="13" t="s">
        <v>122</v>
      </c>
      <c r="B15" s="10">
        <v>1</v>
      </c>
      <c r="C15" s="8">
        <v>13.3</v>
      </c>
      <c r="D15" s="3" t="s">
        <v>36</v>
      </c>
      <c r="E15" s="1">
        <f t="shared" si="0"/>
        <v>156</v>
      </c>
      <c r="F15" s="1">
        <f t="shared" si="1"/>
        <v>231.87199999999999</v>
      </c>
    </row>
    <row r="16" spans="1:6" s="1" customFormat="1">
      <c r="A16" s="13" t="s">
        <v>122</v>
      </c>
      <c r="B16" s="10">
        <v>1</v>
      </c>
      <c r="C16" s="8">
        <v>10.3</v>
      </c>
      <c r="D16" s="3" t="s">
        <v>36</v>
      </c>
      <c r="E16" s="1">
        <f t="shared" si="0"/>
        <v>155</v>
      </c>
      <c r="F16" s="1">
        <f t="shared" si="1"/>
        <v>218.57199999999997</v>
      </c>
    </row>
    <row r="17" spans="1:6" s="1" customFormat="1">
      <c r="A17" s="13" t="s">
        <v>122</v>
      </c>
      <c r="B17" s="10">
        <v>1</v>
      </c>
      <c r="C17" s="8">
        <v>10.3</v>
      </c>
      <c r="D17" s="3" t="s">
        <v>36</v>
      </c>
      <c r="E17" s="1">
        <f t="shared" si="0"/>
        <v>154</v>
      </c>
      <c r="F17" s="1">
        <f t="shared" si="1"/>
        <v>208.27199999999999</v>
      </c>
    </row>
    <row r="18" spans="1:6" s="1" customFormat="1">
      <c r="A18" s="13" t="s">
        <v>122</v>
      </c>
      <c r="B18" s="10">
        <v>1</v>
      </c>
      <c r="C18" s="8">
        <v>10.3</v>
      </c>
      <c r="D18" s="3" t="s">
        <v>36</v>
      </c>
      <c r="E18" s="1">
        <f t="shared" si="0"/>
        <v>153</v>
      </c>
      <c r="F18" s="1">
        <f t="shared" si="1"/>
        <v>197.97200000000001</v>
      </c>
    </row>
    <row r="19" spans="1:6" s="1" customFormat="1">
      <c r="A19" s="13" t="s">
        <v>122</v>
      </c>
      <c r="B19" s="10">
        <v>1</v>
      </c>
      <c r="C19" s="8">
        <v>10.3</v>
      </c>
      <c r="D19" s="3" t="s">
        <v>36</v>
      </c>
      <c r="E19" s="1">
        <f t="shared" si="0"/>
        <v>152</v>
      </c>
      <c r="F19" s="1">
        <f t="shared" si="1"/>
        <v>187.67200000000003</v>
      </c>
    </row>
    <row r="20" spans="1:6" s="1" customFormat="1">
      <c r="A20" s="13" t="s">
        <v>122</v>
      </c>
      <c r="B20" s="10">
        <v>1</v>
      </c>
      <c r="C20" s="8">
        <v>10.3</v>
      </c>
      <c r="D20" s="3" t="s">
        <v>36</v>
      </c>
      <c r="E20" s="1">
        <f t="shared" si="0"/>
        <v>151</v>
      </c>
      <c r="F20" s="1">
        <f t="shared" si="1"/>
        <v>177.37200000000001</v>
      </c>
    </row>
    <row r="21" spans="1:6" s="1" customFormat="1">
      <c r="A21" s="13" t="s">
        <v>122</v>
      </c>
      <c r="B21" s="10">
        <v>1</v>
      </c>
      <c r="C21" s="8">
        <v>10.3</v>
      </c>
      <c r="D21" s="3" t="s">
        <v>36</v>
      </c>
      <c r="E21" s="1">
        <f t="shared" si="0"/>
        <v>150</v>
      </c>
      <c r="F21" s="1">
        <f t="shared" si="1"/>
        <v>167.072</v>
      </c>
    </row>
    <row r="22" spans="1:6" s="1" customFormat="1">
      <c r="A22" s="13" t="s">
        <v>122</v>
      </c>
      <c r="B22" s="10">
        <v>1</v>
      </c>
      <c r="C22" s="8">
        <v>10.3</v>
      </c>
      <c r="D22" s="3" t="s">
        <v>36</v>
      </c>
      <c r="E22" s="1">
        <f t="shared" si="0"/>
        <v>149</v>
      </c>
      <c r="F22" s="1">
        <f t="shared" si="1"/>
        <v>156.77199999999999</v>
      </c>
    </row>
    <row r="23" spans="1:6" s="1" customFormat="1">
      <c r="A23" s="13" t="s">
        <v>122</v>
      </c>
      <c r="B23" s="10">
        <v>1</v>
      </c>
      <c r="C23" s="8">
        <v>10.3</v>
      </c>
      <c r="D23" s="3" t="s">
        <v>36</v>
      </c>
      <c r="E23" s="1">
        <f t="shared" si="0"/>
        <v>148</v>
      </c>
      <c r="F23" s="1">
        <f t="shared" si="1"/>
        <v>146.47200000000001</v>
      </c>
    </row>
    <row r="24" spans="1:6" s="1" customFormat="1">
      <c r="A24" s="13" t="s">
        <v>122</v>
      </c>
      <c r="B24" s="10">
        <v>73</v>
      </c>
      <c r="C24" s="8">
        <v>0.317</v>
      </c>
      <c r="D24" s="3" t="s">
        <v>36</v>
      </c>
      <c r="E24" s="1">
        <f t="shared" si="0"/>
        <v>147</v>
      </c>
      <c r="F24" s="1">
        <f t="shared" si="1"/>
        <v>136.17200000000003</v>
      </c>
    </row>
    <row r="25" spans="1:6" s="1" customFormat="1">
      <c r="A25" s="13" t="s">
        <v>122</v>
      </c>
      <c r="B25" s="10">
        <v>62</v>
      </c>
      <c r="C25" s="8">
        <v>0.255</v>
      </c>
      <c r="D25" s="3" t="s">
        <v>36</v>
      </c>
      <c r="E25" s="1">
        <f t="shared" si="0"/>
        <v>74</v>
      </c>
      <c r="F25" s="1">
        <f t="shared" si="1"/>
        <v>135.85500000000002</v>
      </c>
    </row>
    <row r="26" spans="1:6" s="1" customFormat="1">
      <c r="A26" s="13" t="s">
        <v>122</v>
      </c>
      <c r="B26" s="10">
        <v>4</v>
      </c>
      <c r="C26" s="8">
        <v>53.2</v>
      </c>
      <c r="D26" s="3" t="s">
        <v>36</v>
      </c>
      <c r="E26" s="1">
        <f t="shared" si="0"/>
        <v>12</v>
      </c>
      <c r="F26" s="1">
        <f t="shared" si="1"/>
        <v>135.60000000000002</v>
      </c>
    </row>
    <row r="27" spans="1:6" s="1" customFormat="1">
      <c r="A27" s="13" t="s">
        <v>122</v>
      </c>
      <c r="B27" s="10">
        <v>8</v>
      </c>
      <c r="C27" s="8">
        <v>82.4</v>
      </c>
      <c r="D27" s="3" t="s">
        <v>36</v>
      </c>
      <c r="E27" s="1">
        <f t="shared" si="0"/>
        <v>8</v>
      </c>
      <c r="F27" s="1">
        <f t="shared" si="1"/>
        <v>82.4</v>
      </c>
    </row>
    <row r="28" spans="1:6" s="1" customFormat="1">
      <c r="A28" s="13" t="s">
        <v>122</v>
      </c>
      <c r="B28" s="10">
        <v>1</v>
      </c>
      <c r="C28" s="8">
        <v>14.5</v>
      </c>
      <c r="D28" s="3" t="s">
        <v>85</v>
      </c>
      <c r="E28" s="1">
        <f t="shared" si="0"/>
        <v>2</v>
      </c>
      <c r="F28" s="1">
        <f t="shared" si="1"/>
        <v>29</v>
      </c>
    </row>
    <row r="29" spans="1:6" s="1" customFormat="1">
      <c r="A29" s="13" t="s">
        <v>122</v>
      </c>
      <c r="B29" s="10">
        <v>1</v>
      </c>
      <c r="C29" s="8">
        <v>14.5</v>
      </c>
      <c r="D29" s="3" t="s">
        <v>85</v>
      </c>
      <c r="E29" s="1">
        <f t="shared" si="0"/>
        <v>1</v>
      </c>
      <c r="F29" s="1">
        <f t="shared" si="1"/>
        <v>14.5</v>
      </c>
    </row>
    <row r="30" spans="1:6" s="1" customFormat="1" ht="26.25">
      <c r="A30" s="13" t="s">
        <v>122</v>
      </c>
      <c r="B30" s="23">
        <v>2</v>
      </c>
      <c r="C30" s="25">
        <v>17.29</v>
      </c>
      <c r="D30" s="5" t="s">
        <v>120</v>
      </c>
      <c r="E30" s="1">
        <f t="shared" si="0"/>
        <v>2</v>
      </c>
      <c r="F30" s="1">
        <f t="shared" si="1"/>
        <v>17.29</v>
      </c>
    </row>
    <row r="31" spans="1:6" s="6" customFormat="1" ht="26.25">
      <c r="A31" s="13" t="s">
        <v>122</v>
      </c>
      <c r="B31" s="10">
        <v>1</v>
      </c>
      <c r="C31" s="8">
        <v>8.69</v>
      </c>
      <c r="D31" s="3" t="s">
        <v>52</v>
      </c>
      <c r="E31" s="1">
        <f t="shared" si="0"/>
        <v>1</v>
      </c>
      <c r="F31" s="1">
        <f t="shared" si="1"/>
        <v>8.69</v>
      </c>
    </row>
    <row r="32" spans="1:6" s="6" customFormat="1">
      <c r="A32" s="13" t="s">
        <v>16</v>
      </c>
      <c r="B32" s="9">
        <v>340</v>
      </c>
      <c r="C32" s="4">
        <v>2083.0230000000001</v>
      </c>
      <c r="D32" s="3" t="s">
        <v>8</v>
      </c>
      <c r="E32" s="1">
        <f t="shared" si="0"/>
        <v>340</v>
      </c>
      <c r="F32" s="1">
        <f t="shared" si="1"/>
        <v>2083.0230000000001</v>
      </c>
    </row>
    <row r="33" spans="1:6" s="6" customFormat="1">
      <c r="A33" s="13" t="s">
        <v>122</v>
      </c>
      <c r="B33" s="10">
        <v>1</v>
      </c>
      <c r="C33" s="8">
        <v>15</v>
      </c>
      <c r="D33" s="3" t="s">
        <v>94</v>
      </c>
      <c r="E33" s="1">
        <f t="shared" si="0"/>
        <v>2</v>
      </c>
      <c r="F33" s="1">
        <f t="shared" si="1"/>
        <v>30</v>
      </c>
    </row>
    <row r="34" spans="1:6" s="6" customFormat="1">
      <c r="A34" s="13" t="s">
        <v>122</v>
      </c>
      <c r="B34" s="10">
        <v>1</v>
      </c>
      <c r="C34" s="8">
        <v>15</v>
      </c>
      <c r="D34" s="3" t="s">
        <v>94</v>
      </c>
      <c r="E34" s="1">
        <f t="shared" ref="E34:E65" si="2">SUMIF(D34:D411,D34, B34:B411)</f>
        <v>1</v>
      </c>
      <c r="F34" s="1">
        <f t="shared" ref="F34:F65" si="3">SUMIF(D34:D411,D34, C34:C411)</f>
        <v>15</v>
      </c>
    </row>
    <row r="35" spans="1:6" s="6" customFormat="1">
      <c r="A35" s="13" t="s">
        <v>122</v>
      </c>
      <c r="B35" s="10">
        <v>1</v>
      </c>
      <c r="C35" s="8">
        <v>8.8000000000000007</v>
      </c>
      <c r="D35" s="3" t="s">
        <v>63</v>
      </c>
      <c r="E35" s="1">
        <f t="shared" si="2"/>
        <v>4</v>
      </c>
      <c r="F35" s="1">
        <f t="shared" si="3"/>
        <v>35.200000000000003</v>
      </c>
    </row>
    <row r="36" spans="1:6" s="6" customFormat="1">
      <c r="A36" s="13" t="s">
        <v>122</v>
      </c>
      <c r="B36" s="10">
        <v>1</v>
      </c>
      <c r="C36" s="8">
        <v>8.8000000000000007</v>
      </c>
      <c r="D36" s="3" t="s">
        <v>63</v>
      </c>
      <c r="E36" s="1">
        <f t="shared" si="2"/>
        <v>3</v>
      </c>
      <c r="F36" s="1">
        <f t="shared" si="3"/>
        <v>26.400000000000002</v>
      </c>
    </row>
    <row r="37" spans="1:6" s="1" customFormat="1">
      <c r="A37" s="13" t="s">
        <v>122</v>
      </c>
      <c r="B37" s="10">
        <v>2</v>
      </c>
      <c r="C37" s="8">
        <v>17.600000000000001</v>
      </c>
      <c r="D37" s="3" t="s">
        <v>63</v>
      </c>
      <c r="E37" s="1">
        <f t="shared" si="2"/>
        <v>2</v>
      </c>
      <c r="F37" s="1">
        <f t="shared" si="3"/>
        <v>17.600000000000001</v>
      </c>
    </row>
    <row r="38" spans="1:6" s="1" customFormat="1">
      <c r="A38" s="13" t="s">
        <v>123</v>
      </c>
      <c r="B38" s="9">
        <v>539</v>
      </c>
      <c r="C38" s="4">
        <v>3191.5329999999999</v>
      </c>
      <c r="D38" s="3" t="s">
        <v>25</v>
      </c>
      <c r="E38" s="1">
        <f t="shared" si="2"/>
        <v>1126</v>
      </c>
      <c r="F38" s="1">
        <f t="shared" si="3"/>
        <v>6558.2260000000006</v>
      </c>
    </row>
    <row r="39" spans="1:6" s="1" customFormat="1">
      <c r="A39" s="13" t="s">
        <v>123</v>
      </c>
      <c r="B39" s="9">
        <v>537</v>
      </c>
      <c r="C39" s="4">
        <v>3136.0129999999999</v>
      </c>
      <c r="D39" s="3" t="s">
        <v>25</v>
      </c>
      <c r="E39" s="1">
        <f t="shared" si="2"/>
        <v>587</v>
      </c>
      <c r="F39" s="1">
        <f t="shared" si="3"/>
        <v>3366.6929999999998</v>
      </c>
    </row>
    <row r="40" spans="1:6" s="1" customFormat="1">
      <c r="A40" s="13" t="s">
        <v>123</v>
      </c>
      <c r="B40" s="9">
        <v>50</v>
      </c>
      <c r="C40" s="4">
        <v>230.68</v>
      </c>
      <c r="D40" s="3" t="s">
        <v>25</v>
      </c>
      <c r="E40" s="1">
        <f t="shared" si="2"/>
        <v>50</v>
      </c>
      <c r="F40" s="1">
        <f t="shared" si="3"/>
        <v>230.68</v>
      </c>
    </row>
    <row r="41" spans="1:6" s="1" customFormat="1">
      <c r="A41" s="13" t="s">
        <v>122</v>
      </c>
      <c r="B41" s="10">
        <v>1</v>
      </c>
      <c r="C41" s="8">
        <v>15</v>
      </c>
      <c r="D41" s="3" t="s">
        <v>66</v>
      </c>
      <c r="E41" s="1">
        <f t="shared" si="2"/>
        <v>4</v>
      </c>
      <c r="F41" s="1">
        <f t="shared" si="3"/>
        <v>60</v>
      </c>
    </row>
    <row r="42" spans="1:6" s="1" customFormat="1">
      <c r="A42" s="13" t="s">
        <v>122</v>
      </c>
      <c r="B42" s="10">
        <v>1</v>
      </c>
      <c r="C42" s="8">
        <v>15</v>
      </c>
      <c r="D42" s="3" t="s">
        <v>66</v>
      </c>
      <c r="E42" s="1">
        <f t="shared" si="2"/>
        <v>3</v>
      </c>
      <c r="F42" s="1">
        <f t="shared" si="3"/>
        <v>45</v>
      </c>
    </row>
    <row r="43" spans="1:6" s="1" customFormat="1">
      <c r="A43" s="13" t="s">
        <v>122</v>
      </c>
      <c r="B43" s="10">
        <v>2</v>
      </c>
      <c r="C43" s="8">
        <v>30</v>
      </c>
      <c r="D43" s="3" t="s">
        <v>66</v>
      </c>
      <c r="E43" s="1">
        <f t="shared" si="2"/>
        <v>2</v>
      </c>
      <c r="F43" s="1">
        <f t="shared" si="3"/>
        <v>30</v>
      </c>
    </row>
    <row r="44" spans="1:6" s="1" customFormat="1">
      <c r="A44" s="13" t="s">
        <v>122</v>
      </c>
      <c r="B44" s="10">
        <v>1</v>
      </c>
      <c r="C44" s="8">
        <v>15.1</v>
      </c>
      <c r="D44" s="3" t="s">
        <v>45</v>
      </c>
      <c r="E44" s="1">
        <f t="shared" si="2"/>
        <v>2</v>
      </c>
      <c r="F44" s="1">
        <f t="shared" si="3"/>
        <v>30.2</v>
      </c>
    </row>
    <row r="45" spans="1:6">
      <c r="A45" s="13" t="s">
        <v>122</v>
      </c>
      <c r="B45" s="10">
        <v>1</v>
      </c>
      <c r="C45" s="8">
        <v>15.1</v>
      </c>
      <c r="D45" s="3" t="s">
        <v>45</v>
      </c>
      <c r="E45" s="1">
        <f t="shared" si="2"/>
        <v>1</v>
      </c>
      <c r="F45" s="1">
        <f t="shared" si="3"/>
        <v>15.1</v>
      </c>
    </row>
    <row r="46" spans="1:6">
      <c r="A46" s="13" t="s">
        <v>122</v>
      </c>
      <c r="B46" s="10">
        <v>1</v>
      </c>
      <c r="C46" s="8">
        <v>10.4</v>
      </c>
      <c r="D46" s="3" t="s">
        <v>97</v>
      </c>
      <c r="E46" s="1">
        <f t="shared" si="2"/>
        <v>4</v>
      </c>
      <c r="F46" s="1">
        <f t="shared" si="3"/>
        <v>41.6</v>
      </c>
    </row>
    <row r="47" spans="1:6">
      <c r="A47" s="13" t="s">
        <v>122</v>
      </c>
      <c r="B47" s="10">
        <v>1</v>
      </c>
      <c r="C47" s="8">
        <v>10.4</v>
      </c>
      <c r="D47" s="3" t="s">
        <v>97</v>
      </c>
      <c r="E47" s="1">
        <f t="shared" si="2"/>
        <v>3</v>
      </c>
      <c r="F47" s="1">
        <f t="shared" si="3"/>
        <v>31.200000000000003</v>
      </c>
    </row>
    <row r="48" spans="1:6">
      <c r="A48" s="13" t="s">
        <v>122</v>
      </c>
      <c r="B48" s="10">
        <v>2</v>
      </c>
      <c r="C48" s="8">
        <v>20.8</v>
      </c>
      <c r="D48" s="3" t="s">
        <v>97</v>
      </c>
      <c r="E48" s="1">
        <f t="shared" si="2"/>
        <v>2</v>
      </c>
      <c r="F48" s="1">
        <f t="shared" si="3"/>
        <v>20.8</v>
      </c>
    </row>
    <row r="49" spans="1:6">
      <c r="A49" s="13" t="s">
        <v>122</v>
      </c>
      <c r="B49" s="10">
        <v>1</v>
      </c>
      <c r="C49" s="8">
        <v>22.62</v>
      </c>
      <c r="D49" s="3" t="s">
        <v>102</v>
      </c>
      <c r="E49" s="1">
        <f t="shared" si="2"/>
        <v>9</v>
      </c>
      <c r="F49" s="1">
        <f t="shared" si="3"/>
        <v>135.72</v>
      </c>
    </row>
    <row r="50" spans="1:6">
      <c r="A50" s="13" t="s">
        <v>122</v>
      </c>
      <c r="B50" s="10">
        <v>1</v>
      </c>
      <c r="C50" s="8">
        <v>22.62</v>
      </c>
      <c r="D50" s="3" t="s">
        <v>102</v>
      </c>
      <c r="E50" s="1">
        <f t="shared" si="2"/>
        <v>8</v>
      </c>
      <c r="F50" s="1">
        <f t="shared" si="3"/>
        <v>113.1</v>
      </c>
    </row>
    <row r="51" spans="1:6">
      <c r="A51" s="13" t="s">
        <v>122</v>
      </c>
      <c r="B51" s="10">
        <v>1</v>
      </c>
      <c r="C51" s="8">
        <v>22.62</v>
      </c>
      <c r="D51" s="3" t="s">
        <v>102</v>
      </c>
      <c r="E51" s="1">
        <f t="shared" si="2"/>
        <v>7</v>
      </c>
      <c r="F51" s="1">
        <f t="shared" si="3"/>
        <v>90.48</v>
      </c>
    </row>
    <row r="52" spans="1:6">
      <c r="A52" s="13" t="s">
        <v>122</v>
      </c>
      <c r="B52" s="10">
        <v>6</v>
      </c>
      <c r="C52" s="8">
        <v>67.86</v>
      </c>
      <c r="D52" s="3" t="s">
        <v>102</v>
      </c>
      <c r="E52" s="1">
        <f t="shared" si="2"/>
        <v>6</v>
      </c>
      <c r="F52" s="1">
        <f t="shared" si="3"/>
        <v>67.86</v>
      </c>
    </row>
    <row r="53" spans="1:6">
      <c r="A53" s="13" t="s">
        <v>122</v>
      </c>
      <c r="B53" s="10">
        <v>1</v>
      </c>
      <c r="C53" s="8">
        <v>13.5</v>
      </c>
      <c r="D53" s="3" t="s">
        <v>91</v>
      </c>
      <c r="E53" s="1">
        <f t="shared" si="2"/>
        <v>3</v>
      </c>
      <c r="F53" s="1">
        <f t="shared" si="3"/>
        <v>27</v>
      </c>
    </row>
    <row r="54" spans="1:6">
      <c r="A54" s="13" t="s">
        <v>122</v>
      </c>
      <c r="B54" s="10">
        <v>2</v>
      </c>
      <c r="C54" s="8">
        <v>13.5</v>
      </c>
      <c r="D54" s="3" t="s">
        <v>91</v>
      </c>
      <c r="E54" s="1">
        <f t="shared" si="2"/>
        <v>2</v>
      </c>
      <c r="F54" s="1">
        <f t="shared" si="3"/>
        <v>13.5</v>
      </c>
    </row>
    <row r="55" spans="1:6">
      <c r="A55" s="13" t="s">
        <v>122</v>
      </c>
      <c r="B55" s="10">
        <v>1</v>
      </c>
      <c r="C55" s="8">
        <v>15</v>
      </c>
      <c r="D55" s="3" t="s">
        <v>49</v>
      </c>
      <c r="E55" s="1">
        <f t="shared" si="2"/>
        <v>2</v>
      </c>
      <c r="F55" s="1">
        <f t="shared" si="3"/>
        <v>30</v>
      </c>
    </row>
    <row r="56" spans="1:6">
      <c r="A56" s="13" t="s">
        <v>122</v>
      </c>
      <c r="B56" s="10">
        <v>1</v>
      </c>
      <c r="C56" s="8">
        <v>15</v>
      </c>
      <c r="D56" s="3" t="s">
        <v>49</v>
      </c>
      <c r="E56" s="1">
        <f t="shared" si="2"/>
        <v>1</v>
      </c>
      <c r="F56" s="1">
        <f t="shared" si="3"/>
        <v>15</v>
      </c>
    </row>
    <row r="57" spans="1:6">
      <c r="A57" s="13" t="s">
        <v>122</v>
      </c>
      <c r="B57" s="10">
        <v>1</v>
      </c>
      <c r="C57" s="8">
        <v>15</v>
      </c>
      <c r="D57" s="3" t="s">
        <v>69</v>
      </c>
      <c r="E57" s="1">
        <f t="shared" si="2"/>
        <v>2</v>
      </c>
      <c r="F57" s="1">
        <f t="shared" si="3"/>
        <v>30</v>
      </c>
    </row>
    <row r="58" spans="1:6">
      <c r="A58" s="13" t="s">
        <v>122</v>
      </c>
      <c r="B58" s="10">
        <v>1</v>
      </c>
      <c r="C58" s="8">
        <v>15</v>
      </c>
      <c r="D58" s="3" t="s">
        <v>69</v>
      </c>
      <c r="E58" s="1">
        <f t="shared" si="2"/>
        <v>1</v>
      </c>
      <c r="F58" s="1">
        <f t="shared" si="3"/>
        <v>15</v>
      </c>
    </row>
    <row r="59" spans="1:6">
      <c r="A59" s="13" t="s">
        <v>122</v>
      </c>
      <c r="B59" s="10">
        <v>1</v>
      </c>
      <c r="C59" s="8">
        <v>14.5</v>
      </c>
      <c r="D59" s="3" t="s">
        <v>59</v>
      </c>
      <c r="E59" s="1">
        <f t="shared" si="2"/>
        <v>10</v>
      </c>
      <c r="F59" s="1">
        <f t="shared" si="3"/>
        <v>145</v>
      </c>
    </row>
    <row r="60" spans="1:6">
      <c r="A60" s="13" t="s">
        <v>122</v>
      </c>
      <c r="B60" s="10">
        <v>1</v>
      </c>
      <c r="C60" s="8">
        <v>14.5</v>
      </c>
      <c r="D60" s="3" t="s">
        <v>59</v>
      </c>
      <c r="E60" s="1">
        <f t="shared" si="2"/>
        <v>9</v>
      </c>
      <c r="F60" s="1">
        <f t="shared" si="3"/>
        <v>130.5</v>
      </c>
    </row>
    <row r="61" spans="1:6">
      <c r="A61" s="13" t="s">
        <v>122</v>
      </c>
      <c r="B61" s="10">
        <v>1</v>
      </c>
      <c r="C61" s="8">
        <v>14.5</v>
      </c>
      <c r="D61" s="3" t="s">
        <v>59</v>
      </c>
      <c r="E61" s="1">
        <f t="shared" si="2"/>
        <v>8</v>
      </c>
      <c r="F61" s="1">
        <f t="shared" si="3"/>
        <v>116</v>
      </c>
    </row>
    <row r="62" spans="1:6">
      <c r="A62" s="13" t="s">
        <v>122</v>
      </c>
      <c r="B62" s="10">
        <v>1</v>
      </c>
      <c r="C62" s="8">
        <v>14.5</v>
      </c>
      <c r="D62" s="3" t="s">
        <v>59</v>
      </c>
      <c r="E62" s="1">
        <f t="shared" si="2"/>
        <v>7</v>
      </c>
      <c r="F62" s="1">
        <f t="shared" si="3"/>
        <v>101.5</v>
      </c>
    </row>
    <row r="63" spans="1:6">
      <c r="A63" s="13" t="s">
        <v>122</v>
      </c>
      <c r="B63" s="10">
        <v>1</v>
      </c>
      <c r="C63" s="8">
        <v>14.5</v>
      </c>
      <c r="D63" s="3" t="s">
        <v>59</v>
      </c>
      <c r="E63" s="1">
        <f t="shared" si="2"/>
        <v>6</v>
      </c>
      <c r="F63" s="1">
        <f t="shared" si="3"/>
        <v>87</v>
      </c>
    </row>
    <row r="64" spans="1:6">
      <c r="A64" s="13" t="s">
        <v>122</v>
      </c>
      <c r="B64" s="10">
        <v>5</v>
      </c>
      <c r="C64" s="8">
        <v>72.5</v>
      </c>
      <c r="D64" s="3" t="s">
        <v>59</v>
      </c>
      <c r="E64" s="1">
        <f t="shared" si="2"/>
        <v>5</v>
      </c>
      <c r="F64" s="1">
        <f t="shared" si="3"/>
        <v>72.5</v>
      </c>
    </row>
    <row r="65" spans="1:6">
      <c r="A65" s="13" t="s">
        <v>122</v>
      </c>
      <c r="B65" s="10">
        <v>1</v>
      </c>
      <c r="C65" s="8">
        <v>6.8</v>
      </c>
      <c r="D65" s="3" t="s">
        <v>60</v>
      </c>
      <c r="E65" s="1">
        <f t="shared" si="2"/>
        <v>2</v>
      </c>
      <c r="F65" s="1">
        <f t="shared" si="3"/>
        <v>13.6</v>
      </c>
    </row>
    <row r="66" spans="1:6">
      <c r="A66" s="13" t="s">
        <v>122</v>
      </c>
      <c r="B66" s="10">
        <v>1</v>
      </c>
      <c r="C66" s="8">
        <v>6.8</v>
      </c>
      <c r="D66" s="3" t="s">
        <v>60</v>
      </c>
      <c r="E66" s="1">
        <f t="shared" ref="E66:E91" si="4">SUMIF(D66:D443,D66, B66:B443)</f>
        <v>1</v>
      </c>
      <c r="F66" s="1">
        <f t="shared" ref="F66:F91" si="5">SUMIF(D66:D443,D66, C66:C443)</f>
        <v>6.8</v>
      </c>
    </row>
    <row r="67" spans="1:6">
      <c r="A67" s="13" t="s">
        <v>122</v>
      </c>
      <c r="B67" s="10">
        <v>1</v>
      </c>
      <c r="C67" s="8">
        <v>14.569000000000001</v>
      </c>
      <c r="D67" s="3" t="s">
        <v>79</v>
      </c>
      <c r="E67" s="1">
        <f t="shared" si="4"/>
        <v>28</v>
      </c>
      <c r="F67" s="1">
        <f t="shared" si="5"/>
        <v>407.93599999999992</v>
      </c>
    </row>
    <row r="68" spans="1:6">
      <c r="A68" s="13" t="s">
        <v>122</v>
      </c>
      <c r="B68" s="10">
        <v>1</v>
      </c>
      <c r="C68" s="8">
        <v>14.569000000000001</v>
      </c>
      <c r="D68" s="3" t="s">
        <v>79</v>
      </c>
      <c r="E68" s="1">
        <f t="shared" si="4"/>
        <v>27</v>
      </c>
      <c r="F68" s="1">
        <f t="shared" si="5"/>
        <v>393.36699999999996</v>
      </c>
    </row>
    <row r="69" spans="1:6">
      <c r="A69" s="13" t="s">
        <v>122</v>
      </c>
      <c r="B69" s="10">
        <v>1</v>
      </c>
      <c r="C69" s="8">
        <v>14.569000000000001</v>
      </c>
      <c r="D69" s="3" t="s">
        <v>79</v>
      </c>
      <c r="E69" s="1">
        <f t="shared" si="4"/>
        <v>26</v>
      </c>
      <c r="F69" s="1">
        <f t="shared" si="5"/>
        <v>378.798</v>
      </c>
    </row>
    <row r="70" spans="1:6">
      <c r="A70" s="13" t="s">
        <v>122</v>
      </c>
      <c r="B70" s="10">
        <v>1</v>
      </c>
      <c r="C70" s="8">
        <v>14.569000000000001</v>
      </c>
      <c r="D70" s="3" t="s">
        <v>79</v>
      </c>
      <c r="E70" s="1">
        <f t="shared" si="4"/>
        <v>25</v>
      </c>
      <c r="F70" s="1">
        <f t="shared" si="5"/>
        <v>364.22899999999998</v>
      </c>
    </row>
    <row r="71" spans="1:6">
      <c r="A71" s="13" t="s">
        <v>122</v>
      </c>
      <c r="B71" s="10">
        <v>1</v>
      </c>
      <c r="C71" s="8">
        <v>14.569000000000001</v>
      </c>
      <c r="D71" s="3" t="s">
        <v>79</v>
      </c>
      <c r="E71" s="1">
        <f t="shared" si="4"/>
        <v>24</v>
      </c>
      <c r="F71" s="1">
        <f t="shared" si="5"/>
        <v>349.65999999999997</v>
      </c>
    </row>
    <row r="72" spans="1:6">
      <c r="A72" s="13" t="s">
        <v>122</v>
      </c>
      <c r="B72" s="10">
        <v>1</v>
      </c>
      <c r="C72" s="8">
        <v>14.569000000000001</v>
      </c>
      <c r="D72" s="3" t="s">
        <v>79</v>
      </c>
      <c r="E72" s="1">
        <f t="shared" si="4"/>
        <v>23</v>
      </c>
      <c r="F72" s="1">
        <f t="shared" si="5"/>
        <v>335.09100000000001</v>
      </c>
    </row>
    <row r="73" spans="1:6">
      <c r="A73" s="13" t="s">
        <v>122</v>
      </c>
      <c r="B73" s="10">
        <v>1</v>
      </c>
      <c r="C73" s="8">
        <v>14.569000000000001</v>
      </c>
      <c r="D73" s="3" t="s">
        <v>79</v>
      </c>
      <c r="E73" s="1">
        <f t="shared" si="4"/>
        <v>22</v>
      </c>
      <c r="F73" s="1">
        <f t="shared" si="5"/>
        <v>320.52199999999999</v>
      </c>
    </row>
    <row r="74" spans="1:6">
      <c r="A74" s="13" t="s">
        <v>122</v>
      </c>
      <c r="B74" s="10">
        <v>1</v>
      </c>
      <c r="C74" s="8">
        <v>14.569000000000001</v>
      </c>
      <c r="D74" s="3" t="s">
        <v>79</v>
      </c>
      <c r="E74" s="1">
        <f t="shared" si="4"/>
        <v>21</v>
      </c>
      <c r="F74" s="1">
        <f t="shared" si="5"/>
        <v>305.95299999999997</v>
      </c>
    </row>
    <row r="75" spans="1:6">
      <c r="A75" s="13" t="s">
        <v>122</v>
      </c>
      <c r="B75" s="10">
        <v>1</v>
      </c>
      <c r="C75" s="8">
        <v>14.569000000000001</v>
      </c>
      <c r="D75" s="3" t="s">
        <v>79</v>
      </c>
      <c r="E75" s="1">
        <f t="shared" si="4"/>
        <v>20</v>
      </c>
      <c r="F75" s="1">
        <f t="shared" si="5"/>
        <v>291.38400000000001</v>
      </c>
    </row>
    <row r="76" spans="1:6">
      <c r="A76" s="13" t="s">
        <v>122</v>
      </c>
      <c r="B76" s="10">
        <v>1</v>
      </c>
      <c r="C76" s="8">
        <v>14.569000000000001</v>
      </c>
      <c r="D76" s="3" t="s">
        <v>79</v>
      </c>
      <c r="E76" s="1">
        <f t="shared" si="4"/>
        <v>19</v>
      </c>
      <c r="F76" s="1">
        <f t="shared" si="5"/>
        <v>276.815</v>
      </c>
    </row>
    <row r="77" spans="1:6">
      <c r="A77" s="13" t="s">
        <v>122</v>
      </c>
      <c r="B77" s="10">
        <v>1</v>
      </c>
      <c r="C77" s="8">
        <v>14.569000000000001</v>
      </c>
      <c r="D77" s="3" t="s">
        <v>79</v>
      </c>
      <c r="E77" s="1">
        <f t="shared" si="4"/>
        <v>18</v>
      </c>
      <c r="F77" s="1">
        <f t="shared" si="5"/>
        <v>262.24599999999998</v>
      </c>
    </row>
    <row r="78" spans="1:6">
      <c r="A78" s="13" t="s">
        <v>122</v>
      </c>
      <c r="B78" s="10">
        <v>1</v>
      </c>
      <c r="C78" s="8">
        <v>14.569000000000001</v>
      </c>
      <c r="D78" s="3" t="s">
        <v>79</v>
      </c>
      <c r="E78" s="1">
        <f t="shared" si="4"/>
        <v>17</v>
      </c>
      <c r="F78" s="1">
        <f t="shared" si="5"/>
        <v>247.67699999999999</v>
      </c>
    </row>
    <row r="79" spans="1:6">
      <c r="A79" s="13" t="s">
        <v>122</v>
      </c>
      <c r="B79" s="10">
        <v>1</v>
      </c>
      <c r="C79" s="8">
        <v>14.569000000000001</v>
      </c>
      <c r="D79" s="3" t="s">
        <v>79</v>
      </c>
      <c r="E79" s="1">
        <f t="shared" si="4"/>
        <v>16</v>
      </c>
      <c r="F79" s="1">
        <f t="shared" si="5"/>
        <v>233.108</v>
      </c>
    </row>
    <row r="80" spans="1:6">
      <c r="A80" s="13" t="s">
        <v>122</v>
      </c>
      <c r="B80" s="10">
        <v>1</v>
      </c>
      <c r="C80" s="8">
        <v>14.569000000000001</v>
      </c>
      <c r="D80" s="3" t="s">
        <v>79</v>
      </c>
      <c r="E80" s="1">
        <f t="shared" si="4"/>
        <v>15</v>
      </c>
      <c r="F80" s="1">
        <f t="shared" si="5"/>
        <v>218.53899999999999</v>
      </c>
    </row>
    <row r="81" spans="1:6">
      <c r="A81" s="13" t="s">
        <v>122</v>
      </c>
      <c r="B81" s="10">
        <v>14</v>
      </c>
      <c r="C81" s="8">
        <v>203.97</v>
      </c>
      <c r="D81" s="3" t="s">
        <v>79</v>
      </c>
      <c r="E81" s="1">
        <f t="shared" si="4"/>
        <v>14</v>
      </c>
      <c r="F81" s="1">
        <f t="shared" si="5"/>
        <v>203.97</v>
      </c>
    </row>
    <row r="82" spans="1:6">
      <c r="A82" s="13" t="s">
        <v>122</v>
      </c>
      <c r="B82" s="10">
        <v>2</v>
      </c>
      <c r="C82" s="8">
        <v>33</v>
      </c>
      <c r="D82" s="3" t="s">
        <v>114</v>
      </c>
      <c r="E82" s="1">
        <f t="shared" si="4"/>
        <v>2</v>
      </c>
      <c r="F82" s="1">
        <f t="shared" si="5"/>
        <v>33</v>
      </c>
    </row>
    <row r="83" spans="1:6" ht="26.25">
      <c r="A83" s="13" t="s">
        <v>122</v>
      </c>
      <c r="B83" s="10">
        <v>1</v>
      </c>
      <c r="C83" s="8">
        <v>8.0109999999999992</v>
      </c>
      <c r="D83" s="3" t="s">
        <v>113</v>
      </c>
      <c r="E83" s="1">
        <f t="shared" si="4"/>
        <v>4</v>
      </c>
      <c r="F83" s="1">
        <f t="shared" si="5"/>
        <v>48.066000000000003</v>
      </c>
    </row>
    <row r="84" spans="1:6" ht="26.25">
      <c r="A84" s="13" t="s">
        <v>122</v>
      </c>
      <c r="B84" s="10">
        <v>1</v>
      </c>
      <c r="C84" s="8">
        <v>8.0109999999999992</v>
      </c>
      <c r="D84" s="3" t="s">
        <v>113</v>
      </c>
      <c r="E84" s="1">
        <f t="shared" si="4"/>
        <v>3</v>
      </c>
      <c r="F84" s="1">
        <f t="shared" si="5"/>
        <v>40.055</v>
      </c>
    </row>
    <row r="85" spans="1:6" ht="26.25">
      <c r="A85" s="13" t="s">
        <v>122</v>
      </c>
      <c r="B85" s="10">
        <v>1</v>
      </c>
      <c r="C85" s="8">
        <v>8.0109999999999992</v>
      </c>
      <c r="D85" s="3" t="s">
        <v>113</v>
      </c>
      <c r="E85" s="1">
        <f t="shared" si="4"/>
        <v>2</v>
      </c>
      <c r="F85" s="1">
        <f t="shared" si="5"/>
        <v>32.043999999999997</v>
      </c>
    </row>
    <row r="86" spans="1:6" ht="26.25">
      <c r="A86" s="13" t="s">
        <v>122</v>
      </c>
      <c r="B86" s="10">
        <v>1</v>
      </c>
      <c r="C86" s="8">
        <v>24.033000000000001</v>
      </c>
      <c r="D86" s="3" t="s">
        <v>113</v>
      </c>
      <c r="E86" s="1">
        <f t="shared" si="4"/>
        <v>1</v>
      </c>
      <c r="F86" s="1">
        <f t="shared" si="5"/>
        <v>24.033000000000001</v>
      </c>
    </row>
    <row r="87" spans="1:6">
      <c r="A87" s="13" t="s">
        <v>122</v>
      </c>
      <c r="B87" s="10">
        <v>1</v>
      </c>
      <c r="C87" s="8">
        <v>34.1</v>
      </c>
      <c r="D87" s="3" t="s">
        <v>110</v>
      </c>
      <c r="E87" s="1">
        <f t="shared" si="4"/>
        <v>5</v>
      </c>
      <c r="F87" s="1">
        <f t="shared" si="5"/>
        <v>68.2</v>
      </c>
    </row>
    <row r="88" spans="1:6">
      <c r="A88" s="13" t="s">
        <v>122</v>
      </c>
      <c r="B88" s="10">
        <v>4</v>
      </c>
      <c r="C88" s="8">
        <v>34.1</v>
      </c>
      <c r="D88" s="3" t="s">
        <v>110</v>
      </c>
      <c r="E88" s="1">
        <f t="shared" si="4"/>
        <v>4</v>
      </c>
      <c r="F88" s="1">
        <f t="shared" si="5"/>
        <v>34.1</v>
      </c>
    </row>
    <row r="89" spans="1:6">
      <c r="A89" s="13" t="s">
        <v>122</v>
      </c>
      <c r="B89" s="10">
        <v>1</v>
      </c>
      <c r="C89" s="8">
        <v>36</v>
      </c>
      <c r="D89" s="3" t="s">
        <v>98</v>
      </c>
      <c r="E89" s="1">
        <f t="shared" si="4"/>
        <v>4</v>
      </c>
      <c r="F89" s="1">
        <f t="shared" si="5"/>
        <v>72</v>
      </c>
    </row>
    <row r="90" spans="1:6">
      <c r="A90" s="13" t="s">
        <v>122</v>
      </c>
      <c r="B90" s="10">
        <v>3</v>
      </c>
      <c r="C90" s="8">
        <v>36</v>
      </c>
      <c r="D90" s="3" t="s">
        <v>98</v>
      </c>
      <c r="E90" s="1">
        <f t="shared" si="4"/>
        <v>3</v>
      </c>
      <c r="F90" s="1">
        <f t="shared" si="5"/>
        <v>36</v>
      </c>
    </row>
    <row r="91" spans="1:6">
      <c r="A91" s="13" t="s">
        <v>31</v>
      </c>
      <c r="B91" s="4">
        <v>106</v>
      </c>
      <c r="C91" s="9">
        <v>629.11900000000003</v>
      </c>
      <c r="D91" s="3" t="s">
        <v>30</v>
      </c>
      <c r="E91" s="1">
        <f t="shared" si="4"/>
        <v>142</v>
      </c>
      <c r="F91" s="1">
        <f t="shared" si="5"/>
        <v>903.32799999999997</v>
      </c>
    </row>
    <row r="92" spans="1:6">
      <c r="A92" s="13" t="s">
        <v>31</v>
      </c>
      <c r="B92" s="4">
        <v>36</v>
      </c>
      <c r="C92" s="9">
        <v>274.209</v>
      </c>
      <c r="D92" s="3" t="s">
        <v>30</v>
      </c>
      <c r="E92" s="1">
        <f ca="1">SUMIF(D92:D469,D92, B93:B469)</f>
        <v>1</v>
      </c>
      <c r="F92" s="1">
        <f ca="1">SUMIF(D92:D469,D92, C93:C469)</f>
        <v>10.666</v>
      </c>
    </row>
    <row r="93" spans="1:6">
      <c r="A93" s="13" t="s">
        <v>122</v>
      </c>
      <c r="B93" s="10">
        <v>1</v>
      </c>
      <c r="C93" s="8">
        <v>10.666</v>
      </c>
      <c r="D93" s="3" t="s">
        <v>87</v>
      </c>
      <c r="E93" s="1">
        <f t="shared" ref="E93:E156" si="6">SUMIF(D93:D470,D93, B93:B470)</f>
        <v>6</v>
      </c>
      <c r="F93" s="1">
        <f t="shared" ref="F93:F156" si="7">SUMIF(D93:D470,D93, C93:C470)</f>
        <v>63.998000000000005</v>
      </c>
    </row>
    <row r="94" spans="1:6">
      <c r="A94" s="13" t="s">
        <v>122</v>
      </c>
      <c r="B94" s="10">
        <v>1</v>
      </c>
      <c r="C94" s="8">
        <v>10.666</v>
      </c>
      <c r="D94" s="3" t="s">
        <v>87</v>
      </c>
      <c r="E94" s="1">
        <f t="shared" si="6"/>
        <v>5</v>
      </c>
      <c r="F94" s="1">
        <f t="shared" si="7"/>
        <v>53.332000000000001</v>
      </c>
    </row>
    <row r="95" spans="1:6">
      <c r="A95" s="13" t="s">
        <v>122</v>
      </c>
      <c r="B95" s="10">
        <v>1</v>
      </c>
      <c r="C95" s="8">
        <v>10.666</v>
      </c>
      <c r="D95" s="3" t="s">
        <v>87</v>
      </c>
      <c r="E95" s="1">
        <f t="shared" si="6"/>
        <v>4</v>
      </c>
      <c r="F95" s="1">
        <f t="shared" si="7"/>
        <v>42.665999999999997</v>
      </c>
    </row>
    <row r="96" spans="1:6">
      <c r="A96" s="13" t="s">
        <v>122</v>
      </c>
      <c r="B96" s="10">
        <v>3</v>
      </c>
      <c r="C96" s="8">
        <v>32</v>
      </c>
      <c r="D96" s="3" t="s">
        <v>87</v>
      </c>
      <c r="E96" s="1">
        <f t="shared" si="6"/>
        <v>3</v>
      </c>
      <c r="F96" s="1">
        <f t="shared" si="7"/>
        <v>32</v>
      </c>
    </row>
    <row r="97" spans="1:6">
      <c r="A97" s="13" t="s">
        <v>122</v>
      </c>
      <c r="B97" s="10">
        <v>1</v>
      </c>
      <c r="C97" s="8">
        <v>23.8</v>
      </c>
      <c r="D97" s="3" t="s">
        <v>107</v>
      </c>
      <c r="E97" s="1">
        <f t="shared" si="6"/>
        <v>3</v>
      </c>
      <c r="F97" s="1">
        <f t="shared" si="7"/>
        <v>47.6</v>
      </c>
    </row>
    <row r="98" spans="1:6">
      <c r="A98" s="13" t="s">
        <v>122</v>
      </c>
      <c r="B98" s="10">
        <v>2</v>
      </c>
      <c r="C98" s="8">
        <v>23.8</v>
      </c>
      <c r="D98" s="3" t="s">
        <v>107</v>
      </c>
      <c r="E98" s="1">
        <f t="shared" si="6"/>
        <v>2</v>
      </c>
      <c r="F98" s="1">
        <f t="shared" si="7"/>
        <v>23.8</v>
      </c>
    </row>
    <row r="99" spans="1:6">
      <c r="A99" s="13" t="s">
        <v>122</v>
      </c>
      <c r="B99" s="10">
        <v>1</v>
      </c>
      <c r="C99" s="8">
        <v>14.375</v>
      </c>
      <c r="D99" s="3" t="s">
        <v>88</v>
      </c>
      <c r="E99" s="1">
        <f t="shared" si="6"/>
        <v>16</v>
      </c>
      <c r="F99" s="1">
        <f t="shared" si="7"/>
        <v>230</v>
      </c>
    </row>
    <row r="100" spans="1:6">
      <c r="A100" s="13" t="s">
        <v>122</v>
      </c>
      <c r="B100" s="10">
        <v>1</v>
      </c>
      <c r="C100" s="8">
        <v>14.375</v>
      </c>
      <c r="D100" s="3" t="s">
        <v>88</v>
      </c>
      <c r="E100" s="1">
        <f t="shared" si="6"/>
        <v>15</v>
      </c>
      <c r="F100" s="1">
        <f t="shared" si="7"/>
        <v>215.625</v>
      </c>
    </row>
    <row r="101" spans="1:6">
      <c r="A101" s="13" t="s">
        <v>122</v>
      </c>
      <c r="B101" s="10">
        <v>1</v>
      </c>
      <c r="C101" s="8">
        <v>14.375</v>
      </c>
      <c r="D101" s="3" t="s">
        <v>88</v>
      </c>
      <c r="E101" s="1">
        <f t="shared" si="6"/>
        <v>14</v>
      </c>
      <c r="F101" s="1">
        <f t="shared" si="7"/>
        <v>201.25</v>
      </c>
    </row>
    <row r="102" spans="1:6">
      <c r="A102" s="13" t="s">
        <v>122</v>
      </c>
      <c r="B102" s="10">
        <v>1</v>
      </c>
      <c r="C102" s="8">
        <v>14.375</v>
      </c>
      <c r="D102" s="3" t="s">
        <v>88</v>
      </c>
      <c r="E102" s="1">
        <f t="shared" si="6"/>
        <v>13</v>
      </c>
      <c r="F102" s="1">
        <f t="shared" si="7"/>
        <v>186.875</v>
      </c>
    </row>
    <row r="103" spans="1:6">
      <c r="A103" s="13" t="s">
        <v>122</v>
      </c>
      <c r="B103" s="10">
        <v>1</v>
      </c>
      <c r="C103" s="8">
        <v>14.375</v>
      </c>
      <c r="D103" s="3" t="s">
        <v>88</v>
      </c>
      <c r="E103" s="1">
        <f t="shared" si="6"/>
        <v>12</v>
      </c>
      <c r="F103" s="1">
        <f t="shared" si="7"/>
        <v>172.5</v>
      </c>
    </row>
    <row r="104" spans="1:6">
      <c r="A104" s="13" t="s">
        <v>122</v>
      </c>
      <c r="B104" s="10">
        <v>1</v>
      </c>
      <c r="C104" s="8">
        <v>14.375</v>
      </c>
      <c r="D104" s="3" t="s">
        <v>88</v>
      </c>
      <c r="E104" s="1">
        <f t="shared" si="6"/>
        <v>11</v>
      </c>
      <c r="F104" s="1">
        <f t="shared" si="7"/>
        <v>158.125</v>
      </c>
    </row>
    <row r="105" spans="1:6">
      <c r="A105" s="13" t="s">
        <v>122</v>
      </c>
      <c r="B105" s="10">
        <v>1</v>
      </c>
      <c r="C105" s="8">
        <v>14.375</v>
      </c>
      <c r="D105" s="3" t="s">
        <v>88</v>
      </c>
      <c r="E105" s="1">
        <f t="shared" si="6"/>
        <v>10</v>
      </c>
      <c r="F105" s="1">
        <f t="shared" si="7"/>
        <v>143.75</v>
      </c>
    </row>
    <row r="106" spans="1:6">
      <c r="A106" s="13" t="s">
        <v>122</v>
      </c>
      <c r="B106" s="10">
        <v>1</v>
      </c>
      <c r="C106" s="8">
        <v>14.375</v>
      </c>
      <c r="D106" s="3" t="s">
        <v>88</v>
      </c>
      <c r="E106" s="1">
        <f t="shared" si="6"/>
        <v>9</v>
      </c>
      <c r="F106" s="1">
        <f t="shared" si="7"/>
        <v>129.375</v>
      </c>
    </row>
    <row r="107" spans="1:6">
      <c r="A107" s="13" t="s">
        <v>122</v>
      </c>
      <c r="B107" s="10">
        <v>8</v>
      </c>
      <c r="C107" s="8">
        <v>115</v>
      </c>
      <c r="D107" s="3" t="s">
        <v>88</v>
      </c>
      <c r="E107" s="1">
        <f t="shared" si="6"/>
        <v>8</v>
      </c>
      <c r="F107" s="1">
        <f t="shared" si="7"/>
        <v>115</v>
      </c>
    </row>
    <row r="108" spans="1:6">
      <c r="A108" s="13" t="s">
        <v>122</v>
      </c>
      <c r="B108" s="10">
        <v>1</v>
      </c>
      <c r="C108" s="8">
        <v>12.5</v>
      </c>
      <c r="D108" s="3" t="s">
        <v>58</v>
      </c>
      <c r="E108" s="1">
        <f t="shared" si="6"/>
        <v>4</v>
      </c>
      <c r="F108" s="1">
        <f t="shared" si="7"/>
        <v>50</v>
      </c>
    </row>
    <row r="109" spans="1:6">
      <c r="A109" s="13" t="s">
        <v>122</v>
      </c>
      <c r="B109" s="10">
        <v>1</v>
      </c>
      <c r="C109" s="8">
        <v>12.5</v>
      </c>
      <c r="D109" s="3" t="s">
        <v>58</v>
      </c>
      <c r="E109" s="1">
        <f t="shared" si="6"/>
        <v>3</v>
      </c>
      <c r="F109" s="1">
        <f t="shared" si="7"/>
        <v>37.5</v>
      </c>
    </row>
    <row r="110" spans="1:6">
      <c r="A110" s="13" t="s">
        <v>122</v>
      </c>
      <c r="B110" s="10">
        <v>2</v>
      </c>
      <c r="C110" s="8">
        <v>25</v>
      </c>
      <c r="D110" s="3" t="s">
        <v>58</v>
      </c>
      <c r="E110" s="1">
        <f t="shared" si="6"/>
        <v>2</v>
      </c>
      <c r="F110" s="1">
        <f t="shared" si="7"/>
        <v>25</v>
      </c>
    </row>
    <row r="111" spans="1:6">
      <c r="A111" s="13" t="s">
        <v>122</v>
      </c>
      <c r="B111" s="10">
        <v>1</v>
      </c>
      <c r="C111" s="8">
        <v>15</v>
      </c>
      <c r="D111" s="3" t="s">
        <v>64</v>
      </c>
      <c r="E111" s="1">
        <f t="shared" si="6"/>
        <v>2</v>
      </c>
      <c r="F111" s="1">
        <f t="shared" si="7"/>
        <v>30</v>
      </c>
    </row>
    <row r="112" spans="1:6">
      <c r="A112" s="13" t="s">
        <v>122</v>
      </c>
      <c r="B112" s="10">
        <v>1</v>
      </c>
      <c r="C112" s="8">
        <v>15</v>
      </c>
      <c r="D112" s="3" t="s">
        <v>64</v>
      </c>
      <c r="E112" s="1">
        <f t="shared" si="6"/>
        <v>1</v>
      </c>
      <c r="F112" s="1">
        <f t="shared" si="7"/>
        <v>15</v>
      </c>
    </row>
    <row r="113" spans="1:6">
      <c r="A113" s="13" t="s">
        <v>122</v>
      </c>
      <c r="B113" s="10">
        <v>3</v>
      </c>
      <c r="C113" s="8">
        <v>82.8</v>
      </c>
      <c r="D113" s="3" t="s">
        <v>121</v>
      </c>
      <c r="E113" s="1">
        <f t="shared" si="6"/>
        <v>3</v>
      </c>
      <c r="F113" s="1">
        <f t="shared" si="7"/>
        <v>82.8</v>
      </c>
    </row>
    <row r="114" spans="1:6">
      <c r="A114" s="13" t="s">
        <v>31</v>
      </c>
      <c r="B114" s="9">
        <v>99</v>
      </c>
      <c r="C114" s="4">
        <v>528.35599999999999</v>
      </c>
      <c r="D114" s="3" t="s">
        <v>29</v>
      </c>
      <c r="E114" s="1">
        <f t="shared" si="6"/>
        <v>99</v>
      </c>
      <c r="F114" s="1">
        <f t="shared" si="7"/>
        <v>528.35599999999999</v>
      </c>
    </row>
    <row r="115" spans="1:6">
      <c r="A115" s="13" t="s">
        <v>122</v>
      </c>
      <c r="B115" s="10">
        <v>1</v>
      </c>
      <c r="C115" s="8">
        <v>8.8000000000000007</v>
      </c>
      <c r="D115" s="3" t="s">
        <v>76</v>
      </c>
      <c r="E115" s="1">
        <f t="shared" si="6"/>
        <v>2</v>
      </c>
      <c r="F115" s="1">
        <f t="shared" si="7"/>
        <v>17.600000000000001</v>
      </c>
    </row>
    <row r="116" spans="1:6">
      <c r="A116" s="13" t="s">
        <v>122</v>
      </c>
      <c r="B116" s="10">
        <v>1</v>
      </c>
      <c r="C116" s="8">
        <v>8.8000000000000007</v>
      </c>
      <c r="D116" s="3" t="s">
        <v>76</v>
      </c>
      <c r="E116" s="1">
        <f t="shared" si="6"/>
        <v>1</v>
      </c>
      <c r="F116" s="1">
        <f t="shared" si="7"/>
        <v>8.8000000000000007</v>
      </c>
    </row>
    <row r="117" spans="1:6">
      <c r="A117" s="13" t="s">
        <v>16</v>
      </c>
      <c r="B117" s="9">
        <v>367</v>
      </c>
      <c r="C117" s="4">
        <v>4583.18</v>
      </c>
      <c r="D117" s="3" t="s">
        <v>4</v>
      </c>
      <c r="E117" s="1">
        <f t="shared" si="6"/>
        <v>367</v>
      </c>
      <c r="F117" s="1">
        <f t="shared" si="7"/>
        <v>4583.18</v>
      </c>
    </row>
    <row r="118" spans="1:6" ht="26.25">
      <c r="A118" s="13" t="s">
        <v>122</v>
      </c>
      <c r="B118" s="10">
        <v>1</v>
      </c>
      <c r="C118" s="8">
        <v>16</v>
      </c>
      <c r="D118" s="3" t="s">
        <v>43</v>
      </c>
      <c r="E118" s="1">
        <f t="shared" si="6"/>
        <v>12</v>
      </c>
      <c r="F118" s="1">
        <f t="shared" si="7"/>
        <v>192</v>
      </c>
    </row>
    <row r="119" spans="1:6" ht="26.25">
      <c r="A119" s="13" t="s">
        <v>122</v>
      </c>
      <c r="B119" s="10">
        <v>1</v>
      </c>
      <c r="C119" s="8">
        <v>16</v>
      </c>
      <c r="D119" s="3" t="s">
        <v>43</v>
      </c>
      <c r="E119" s="1">
        <f t="shared" si="6"/>
        <v>11</v>
      </c>
      <c r="F119" s="1">
        <f t="shared" si="7"/>
        <v>176</v>
      </c>
    </row>
    <row r="120" spans="1:6" ht="26.25">
      <c r="A120" s="13" t="s">
        <v>122</v>
      </c>
      <c r="B120" s="10">
        <v>1</v>
      </c>
      <c r="C120" s="8">
        <v>16</v>
      </c>
      <c r="D120" s="3" t="s">
        <v>43</v>
      </c>
      <c r="E120" s="1">
        <f t="shared" si="6"/>
        <v>10</v>
      </c>
      <c r="F120" s="1">
        <f t="shared" si="7"/>
        <v>160</v>
      </c>
    </row>
    <row r="121" spans="1:6" ht="26.25">
      <c r="A121" s="13" t="s">
        <v>122</v>
      </c>
      <c r="B121" s="10">
        <v>1</v>
      </c>
      <c r="C121" s="8">
        <v>16</v>
      </c>
      <c r="D121" s="3" t="s">
        <v>43</v>
      </c>
      <c r="E121" s="1">
        <f t="shared" si="6"/>
        <v>9</v>
      </c>
      <c r="F121" s="1">
        <f t="shared" si="7"/>
        <v>144</v>
      </c>
    </row>
    <row r="122" spans="1:6" ht="26.25">
      <c r="A122" s="13" t="s">
        <v>122</v>
      </c>
      <c r="B122" s="10">
        <v>1</v>
      </c>
      <c r="C122" s="8">
        <v>16</v>
      </c>
      <c r="D122" s="3" t="s">
        <v>43</v>
      </c>
      <c r="E122" s="1">
        <f t="shared" si="6"/>
        <v>8</v>
      </c>
      <c r="F122" s="1">
        <f t="shared" si="7"/>
        <v>128</v>
      </c>
    </row>
    <row r="123" spans="1:6" ht="26.25">
      <c r="A123" s="13" t="s">
        <v>122</v>
      </c>
      <c r="B123" s="10">
        <v>1</v>
      </c>
      <c r="C123" s="8">
        <v>16</v>
      </c>
      <c r="D123" s="3" t="s">
        <v>43</v>
      </c>
      <c r="E123" s="1">
        <f t="shared" si="6"/>
        <v>7</v>
      </c>
      <c r="F123" s="1">
        <f t="shared" si="7"/>
        <v>112</v>
      </c>
    </row>
    <row r="124" spans="1:6" ht="26.25">
      <c r="A124" s="13" t="s">
        <v>122</v>
      </c>
      <c r="B124" s="10">
        <v>6</v>
      </c>
      <c r="C124" s="8">
        <v>96</v>
      </c>
      <c r="D124" s="3" t="s">
        <v>43</v>
      </c>
      <c r="E124" s="1">
        <f t="shared" si="6"/>
        <v>6</v>
      </c>
      <c r="F124" s="1">
        <f t="shared" si="7"/>
        <v>96</v>
      </c>
    </row>
    <row r="125" spans="1:6">
      <c r="A125" s="13" t="s">
        <v>122</v>
      </c>
      <c r="B125" s="10">
        <v>1</v>
      </c>
      <c r="C125" s="8">
        <v>7.8</v>
      </c>
      <c r="D125" s="3" t="s">
        <v>90</v>
      </c>
      <c r="E125" s="1">
        <f t="shared" si="6"/>
        <v>4</v>
      </c>
      <c r="F125" s="1">
        <f t="shared" si="7"/>
        <v>31.2</v>
      </c>
    </row>
    <row r="126" spans="1:6">
      <c r="A126" s="13" t="s">
        <v>122</v>
      </c>
      <c r="B126" s="10">
        <v>1</v>
      </c>
      <c r="C126" s="8">
        <v>7.8</v>
      </c>
      <c r="D126" s="3" t="s">
        <v>90</v>
      </c>
      <c r="E126" s="1">
        <f t="shared" si="6"/>
        <v>3</v>
      </c>
      <c r="F126" s="1">
        <f t="shared" si="7"/>
        <v>23.4</v>
      </c>
    </row>
    <row r="127" spans="1:6">
      <c r="A127" s="13" t="s">
        <v>122</v>
      </c>
      <c r="B127" s="10">
        <v>2</v>
      </c>
      <c r="C127" s="8">
        <v>15.6</v>
      </c>
      <c r="D127" s="3" t="s">
        <v>90</v>
      </c>
      <c r="E127" s="1">
        <f t="shared" si="6"/>
        <v>2</v>
      </c>
      <c r="F127" s="1">
        <f t="shared" si="7"/>
        <v>15.6</v>
      </c>
    </row>
    <row r="128" spans="1:6">
      <c r="A128" s="13" t="s">
        <v>122</v>
      </c>
      <c r="B128" s="10">
        <v>1</v>
      </c>
      <c r="C128" s="8">
        <v>15</v>
      </c>
      <c r="D128" s="3" t="s">
        <v>68</v>
      </c>
      <c r="E128" s="1">
        <f t="shared" si="6"/>
        <v>4</v>
      </c>
      <c r="F128" s="1">
        <f t="shared" si="7"/>
        <v>60</v>
      </c>
    </row>
    <row r="129" spans="1:6">
      <c r="A129" s="13" t="s">
        <v>122</v>
      </c>
      <c r="B129" s="10">
        <v>1</v>
      </c>
      <c r="C129" s="8">
        <v>15</v>
      </c>
      <c r="D129" s="3" t="s">
        <v>68</v>
      </c>
      <c r="E129" s="1">
        <f t="shared" si="6"/>
        <v>3</v>
      </c>
      <c r="F129" s="1">
        <f t="shared" si="7"/>
        <v>45</v>
      </c>
    </row>
    <row r="130" spans="1:6">
      <c r="A130" s="13" t="s">
        <v>122</v>
      </c>
      <c r="B130" s="10">
        <v>2</v>
      </c>
      <c r="C130" s="8">
        <v>30</v>
      </c>
      <c r="D130" s="3" t="s">
        <v>68</v>
      </c>
      <c r="E130" s="1">
        <f t="shared" si="6"/>
        <v>2</v>
      </c>
      <c r="F130" s="1">
        <f t="shared" si="7"/>
        <v>30</v>
      </c>
    </row>
    <row r="131" spans="1:6">
      <c r="A131" s="13" t="s">
        <v>122</v>
      </c>
      <c r="B131" s="10">
        <v>1</v>
      </c>
      <c r="C131" s="8">
        <v>9</v>
      </c>
      <c r="D131" s="3" t="s">
        <v>83</v>
      </c>
      <c r="E131" s="1">
        <f t="shared" si="6"/>
        <v>2</v>
      </c>
      <c r="F131" s="1">
        <f t="shared" si="7"/>
        <v>18</v>
      </c>
    </row>
    <row r="132" spans="1:6">
      <c r="A132" s="13" t="s">
        <v>122</v>
      </c>
      <c r="B132" s="10">
        <v>1</v>
      </c>
      <c r="C132" s="8">
        <v>9</v>
      </c>
      <c r="D132" s="3" t="s">
        <v>83</v>
      </c>
      <c r="E132" s="1">
        <f t="shared" si="6"/>
        <v>1</v>
      </c>
      <c r="F132" s="1">
        <f t="shared" si="7"/>
        <v>9</v>
      </c>
    </row>
    <row r="133" spans="1:6">
      <c r="A133" s="13" t="s">
        <v>122</v>
      </c>
      <c r="B133" s="10">
        <v>1</v>
      </c>
      <c r="C133" s="8">
        <v>17.05</v>
      </c>
      <c r="D133" s="3" t="s">
        <v>93</v>
      </c>
      <c r="E133" s="1">
        <f t="shared" si="6"/>
        <v>2</v>
      </c>
      <c r="F133" s="1">
        <f t="shared" si="7"/>
        <v>34.1</v>
      </c>
    </row>
    <row r="134" spans="1:6">
      <c r="A134" s="13" t="s">
        <v>122</v>
      </c>
      <c r="B134" s="10">
        <v>1</v>
      </c>
      <c r="C134" s="8">
        <v>17.05</v>
      </c>
      <c r="D134" s="3" t="s">
        <v>93</v>
      </c>
      <c r="E134" s="1">
        <f t="shared" si="6"/>
        <v>1</v>
      </c>
      <c r="F134" s="1">
        <f t="shared" si="7"/>
        <v>17.05</v>
      </c>
    </row>
    <row r="135" spans="1:6">
      <c r="A135" s="13" t="s">
        <v>122</v>
      </c>
      <c r="B135" s="10">
        <v>1</v>
      </c>
      <c r="C135" s="8">
        <v>15</v>
      </c>
      <c r="D135" s="3" t="s">
        <v>48</v>
      </c>
      <c r="E135" s="1">
        <f t="shared" si="6"/>
        <v>2</v>
      </c>
      <c r="F135" s="1">
        <f t="shared" si="7"/>
        <v>30</v>
      </c>
    </row>
    <row r="136" spans="1:6">
      <c r="A136" s="13" t="s">
        <v>122</v>
      </c>
      <c r="B136" s="10">
        <v>1</v>
      </c>
      <c r="C136" s="8">
        <v>15</v>
      </c>
      <c r="D136" s="3" t="s">
        <v>48</v>
      </c>
      <c r="E136" s="1">
        <f t="shared" si="6"/>
        <v>1</v>
      </c>
      <c r="F136" s="1">
        <f t="shared" si="7"/>
        <v>15</v>
      </c>
    </row>
    <row r="137" spans="1:6">
      <c r="A137" s="13" t="s">
        <v>122</v>
      </c>
      <c r="B137" s="10">
        <v>1</v>
      </c>
      <c r="C137" s="8">
        <v>13.3</v>
      </c>
      <c r="D137" s="3" t="s">
        <v>34</v>
      </c>
      <c r="E137" s="1">
        <f t="shared" si="6"/>
        <v>45</v>
      </c>
      <c r="F137" s="1">
        <f t="shared" si="7"/>
        <v>53.612000000000002</v>
      </c>
    </row>
    <row r="138" spans="1:6">
      <c r="A138" s="13" t="s">
        <v>122</v>
      </c>
      <c r="B138" s="10">
        <v>1</v>
      </c>
      <c r="C138" s="8">
        <v>13.3</v>
      </c>
      <c r="D138" s="3" t="s">
        <v>34</v>
      </c>
      <c r="E138" s="1">
        <f t="shared" si="6"/>
        <v>44</v>
      </c>
      <c r="F138" s="1">
        <f t="shared" si="7"/>
        <v>40.312000000000005</v>
      </c>
    </row>
    <row r="139" spans="1:6">
      <c r="A139" s="13" t="s">
        <v>122</v>
      </c>
      <c r="B139" s="10">
        <v>41</v>
      </c>
      <c r="C139" s="8">
        <v>0.41199999999999998</v>
      </c>
      <c r="D139" s="3" t="s">
        <v>34</v>
      </c>
      <c r="E139" s="1">
        <f t="shared" si="6"/>
        <v>43</v>
      </c>
      <c r="F139" s="1">
        <f t="shared" si="7"/>
        <v>27.012</v>
      </c>
    </row>
    <row r="140" spans="1:6">
      <c r="A140" s="13" t="s">
        <v>122</v>
      </c>
      <c r="B140" s="10">
        <v>2</v>
      </c>
      <c r="C140" s="8">
        <v>26.6</v>
      </c>
      <c r="D140" s="3" t="s">
        <v>34</v>
      </c>
      <c r="E140" s="1">
        <f t="shared" si="6"/>
        <v>2</v>
      </c>
      <c r="F140" s="1">
        <f t="shared" si="7"/>
        <v>26.6</v>
      </c>
    </row>
    <row r="141" spans="1:6" ht="26.25">
      <c r="A141" s="13" t="s">
        <v>122</v>
      </c>
      <c r="B141" s="10">
        <v>1</v>
      </c>
      <c r="C141" s="8">
        <v>16.68</v>
      </c>
      <c r="D141" s="3" t="s">
        <v>81</v>
      </c>
      <c r="E141" s="1">
        <f t="shared" si="6"/>
        <v>6</v>
      </c>
      <c r="F141" s="1">
        <f t="shared" si="7"/>
        <v>100.08</v>
      </c>
    </row>
    <row r="142" spans="1:6" ht="26.25">
      <c r="A142" s="13" t="s">
        <v>122</v>
      </c>
      <c r="B142" s="10">
        <v>1</v>
      </c>
      <c r="C142" s="8">
        <v>16.68</v>
      </c>
      <c r="D142" s="3" t="s">
        <v>81</v>
      </c>
      <c r="E142" s="1">
        <f t="shared" si="6"/>
        <v>5</v>
      </c>
      <c r="F142" s="1">
        <f t="shared" si="7"/>
        <v>83.4</v>
      </c>
    </row>
    <row r="143" spans="1:6" ht="26.25">
      <c r="A143" s="13" t="s">
        <v>122</v>
      </c>
      <c r="B143" s="10">
        <v>1</v>
      </c>
      <c r="C143" s="8">
        <v>16.68</v>
      </c>
      <c r="D143" s="3" t="s">
        <v>81</v>
      </c>
      <c r="E143" s="1">
        <f t="shared" si="6"/>
        <v>4</v>
      </c>
      <c r="F143" s="1">
        <f t="shared" si="7"/>
        <v>66.72</v>
      </c>
    </row>
    <row r="144" spans="1:6" ht="26.25">
      <c r="A144" s="13" t="s">
        <v>122</v>
      </c>
      <c r="B144" s="10">
        <v>3</v>
      </c>
      <c r="C144" s="8">
        <v>50.04</v>
      </c>
      <c r="D144" s="3" t="s">
        <v>81</v>
      </c>
      <c r="E144" s="1">
        <f t="shared" si="6"/>
        <v>3</v>
      </c>
      <c r="F144" s="1">
        <f t="shared" si="7"/>
        <v>50.04</v>
      </c>
    </row>
    <row r="145" spans="1:6">
      <c r="A145" s="13" t="s">
        <v>122</v>
      </c>
      <c r="B145" s="10">
        <v>1</v>
      </c>
      <c r="C145" s="8">
        <v>12.5</v>
      </c>
      <c r="D145" s="3" t="s">
        <v>72</v>
      </c>
      <c r="E145" s="1">
        <f t="shared" si="6"/>
        <v>12</v>
      </c>
      <c r="F145" s="1">
        <f t="shared" si="7"/>
        <v>175</v>
      </c>
    </row>
    <row r="146" spans="1:6">
      <c r="A146" s="13" t="s">
        <v>122</v>
      </c>
      <c r="B146" s="10">
        <v>1</v>
      </c>
      <c r="C146" s="8">
        <v>15</v>
      </c>
      <c r="D146" s="3" t="s">
        <v>72</v>
      </c>
      <c r="E146" s="1">
        <f t="shared" si="6"/>
        <v>11</v>
      </c>
      <c r="F146" s="1">
        <f t="shared" si="7"/>
        <v>162.5</v>
      </c>
    </row>
    <row r="147" spans="1:6">
      <c r="A147" s="13" t="s">
        <v>122</v>
      </c>
      <c r="B147" s="10">
        <v>1</v>
      </c>
      <c r="C147" s="8">
        <v>15</v>
      </c>
      <c r="D147" s="3" t="s">
        <v>72</v>
      </c>
      <c r="E147" s="1">
        <f t="shared" si="6"/>
        <v>10</v>
      </c>
      <c r="F147" s="1">
        <f t="shared" si="7"/>
        <v>147.5</v>
      </c>
    </row>
    <row r="148" spans="1:6">
      <c r="A148" s="13" t="s">
        <v>122</v>
      </c>
      <c r="B148" s="10">
        <v>1</v>
      </c>
      <c r="C148" s="8">
        <v>15</v>
      </c>
      <c r="D148" s="3" t="s">
        <v>72</v>
      </c>
      <c r="E148" s="1">
        <f t="shared" si="6"/>
        <v>9</v>
      </c>
      <c r="F148" s="1">
        <f t="shared" si="7"/>
        <v>132.5</v>
      </c>
    </row>
    <row r="149" spans="1:6">
      <c r="A149" s="13" t="s">
        <v>122</v>
      </c>
      <c r="B149" s="10">
        <v>1</v>
      </c>
      <c r="C149" s="8">
        <v>15</v>
      </c>
      <c r="D149" s="3" t="s">
        <v>72</v>
      </c>
      <c r="E149" s="1">
        <f t="shared" si="6"/>
        <v>8</v>
      </c>
      <c r="F149" s="1">
        <f t="shared" si="7"/>
        <v>117.5</v>
      </c>
    </row>
    <row r="150" spans="1:6">
      <c r="A150" s="13" t="s">
        <v>122</v>
      </c>
      <c r="B150" s="10">
        <v>1</v>
      </c>
      <c r="C150" s="8">
        <v>15</v>
      </c>
      <c r="D150" s="3" t="s">
        <v>72</v>
      </c>
      <c r="E150" s="1">
        <f t="shared" si="6"/>
        <v>7</v>
      </c>
      <c r="F150" s="1">
        <f t="shared" si="7"/>
        <v>102.5</v>
      </c>
    </row>
    <row r="151" spans="1:6">
      <c r="A151" s="13" t="s">
        <v>122</v>
      </c>
      <c r="B151" s="10">
        <v>6</v>
      </c>
      <c r="C151" s="8">
        <v>87.5</v>
      </c>
      <c r="D151" s="3" t="s">
        <v>72</v>
      </c>
      <c r="E151" s="1">
        <f t="shared" si="6"/>
        <v>6</v>
      </c>
      <c r="F151" s="1">
        <f t="shared" si="7"/>
        <v>87.5</v>
      </c>
    </row>
    <row r="152" spans="1:6">
      <c r="A152" s="13" t="s">
        <v>122</v>
      </c>
      <c r="B152" s="10">
        <v>1</v>
      </c>
      <c r="C152" s="8">
        <v>28.32</v>
      </c>
      <c r="D152" s="3" t="s">
        <v>112</v>
      </c>
      <c r="E152" s="1">
        <f t="shared" si="6"/>
        <v>4</v>
      </c>
      <c r="F152" s="1">
        <f t="shared" si="7"/>
        <v>56.64</v>
      </c>
    </row>
    <row r="153" spans="1:6">
      <c r="A153" s="13" t="s">
        <v>122</v>
      </c>
      <c r="B153" s="10">
        <v>3</v>
      </c>
      <c r="C153" s="8">
        <v>28.32</v>
      </c>
      <c r="D153" s="3" t="s">
        <v>112</v>
      </c>
      <c r="E153" s="1">
        <f t="shared" si="6"/>
        <v>3</v>
      </c>
      <c r="F153" s="1">
        <f t="shared" si="7"/>
        <v>28.32</v>
      </c>
    </row>
    <row r="154" spans="1:6">
      <c r="A154" s="13" t="s">
        <v>122</v>
      </c>
      <c r="B154" s="10">
        <v>1</v>
      </c>
      <c r="C154" s="8">
        <v>12.5</v>
      </c>
      <c r="D154" s="3" t="s">
        <v>75</v>
      </c>
      <c r="E154" s="1">
        <f t="shared" si="6"/>
        <v>18</v>
      </c>
      <c r="F154" s="1">
        <f t="shared" si="7"/>
        <v>274.72000000000003</v>
      </c>
    </row>
    <row r="155" spans="1:6">
      <c r="A155" s="13" t="s">
        <v>122</v>
      </c>
      <c r="B155" s="10">
        <v>1</v>
      </c>
      <c r="C155" s="8">
        <v>15</v>
      </c>
      <c r="D155" s="3" t="s">
        <v>75</v>
      </c>
      <c r="E155" s="1">
        <f t="shared" si="6"/>
        <v>17</v>
      </c>
      <c r="F155" s="1">
        <f t="shared" si="7"/>
        <v>262.22000000000003</v>
      </c>
    </row>
    <row r="156" spans="1:6">
      <c r="A156" s="13" t="s">
        <v>122</v>
      </c>
      <c r="B156" s="10">
        <v>1</v>
      </c>
      <c r="C156" s="8">
        <v>15</v>
      </c>
      <c r="D156" s="3" t="s">
        <v>75</v>
      </c>
      <c r="E156" s="1">
        <f t="shared" si="6"/>
        <v>16</v>
      </c>
      <c r="F156" s="1">
        <f t="shared" si="7"/>
        <v>247.22000000000003</v>
      </c>
    </row>
    <row r="157" spans="1:6">
      <c r="A157" s="13" t="s">
        <v>122</v>
      </c>
      <c r="B157" s="10">
        <v>1</v>
      </c>
      <c r="C157" s="8">
        <v>15</v>
      </c>
      <c r="D157" s="3" t="s">
        <v>75</v>
      </c>
      <c r="E157" s="1">
        <f t="shared" ref="E157:E220" si="8">SUMIF(D157:D534,D157, B157:B534)</f>
        <v>15</v>
      </c>
      <c r="F157" s="1">
        <f t="shared" ref="F157:F220" si="9">SUMIF(D157:D534,D157, C157:C534)</f>
        <v>232.22000000000003</v>
      </c>
    </row>
    <row r="158" spans="1:6">
      <c r="A158" s="13" t="s">
        <v>122</v>
      </c>
      <c r="B158" s="10">
        <v>1</v>
      </c>
      <c r="C158" s="8">
        <v>15</v>
      </c>
      <c r="D158" s="3" t="s">
        <v>75</v>
      </c>
      <c r="E158" s="1">
        <f t="shared" si="8"/>
        <v>14</v>
      </c>
      <c r="F158" s="1">
        <f t="shared" si="9"/>
        <v>217.22000000000003</v>
      </c>
    </row>
    <row r="159" spans="1:6">
      <c r="A159" s="13" t="s">
        <v>122</v>
      </c>
      <c r="B159" s="10">
        <v>1</v>
      </c>
      <c r="C159" s="8">
        <v>15</v>
      </c>
      <c r="D159" s="3" t="s">
        <v>75</v>
      </c>
      <c r="E159" s="1">
        <f t="shared" si="8"/>
        <v>13</v>
      </c>
      <c r="F159" s="1">
        <f t="shared" si="9"/>
        <v>202.22000000000003</v>
      </c>
    </row>
    <row r="160" spans="1:6">
      <c r="A160" s="13" t="s">
        <v>122</v>
      </c>
      <c r="B160" s="10">
        <v>1</v>
      </c>
      <c r="C160" s="8">
        <v>15</v>
      </c>
      <c r="D160" s="3" t="s">
        <v>75</v>
      </c>
      <c r="E160" s="1">
        <f t="shared" si="8"/>
        <v>12</v>
      </c>
      <c r="F160" s="1">
        <f t="shared" si="9"/>
        <v>187.22000000000003</v>
      </c>
    </row>
    <row r="161" spans="1:6">
      <c r="A161" s="13" t="s">
        <v>122</v>
      </c>
      <c r="B161" s="10">
        <v>1</v>
      </c>
      <c r="C161" s="8">
        <v>15</v>
      </c>
      <c r="D161" s="3" t="s">
        <v>75</v>
      </c>
      <c r="E161" s="1">
        <f t="shared" si="8"/>
        <v>11</v>
      </c>
      <c r="F161" s="1">
        <f t="shared" si="9"/>
        <v>172.22000000000003</v>
      </c>
    </row>
    <row r="162" spans="1:6">
      <c r="A162" s="13" t="s">
        <v>122</v>
      </c>
      <c r="B162" s="10">
        <v>1</v>
      </c>
      <c r="C162" s="8">
        <v>19.86</v>
      </c>
      <c r="D162" s="3" t="s">
        <v>75</v>
      </c>
      <c r="E162" s="1">
        <f t="shared" si="8"/>
        <v>10</v>
      </c>
      <c r="F162" s="1">
        <f t="shared" si="9"/>
        <v>157.22000000000003</v>
      </c>
    </row>
    <row r="163" spans="1:6">
      <c r="A163" s="13" t="s">
        <v>122</v>
      </c>
      <c r="B163" s="10">
        <v>9</v>
      </c>
      <c r="C163" s="8">
        <v>137.36000000000001</v>
      </c>
      <c r="D163" s="3" t="s">
        <v>75</v>
      </c>
      <c r="E163" s="1">
        <f t="shared" si="8"/>
        <v>9</v>
      </c>
      <c r="F163" s="1">
        <f t="shared" si="9"/>
        <v>137.36000000000001</v>
      </c>
    </row>
    <row r="164" spans="1:6">
      <c r="A164" s="13" t="s">
        <v>122</v>
      </c>
      <c r="B164" s="10">
        <v>1</v>
      </c>
      <c r="C164" s="8">
        <v>13.3</v>
      </c>
      <c r="D164" s="3" t="s">
        <v>32</v>
      </c>
      <c r="E164" s="1">
        <f t="shared" si="8"/>
        <v>4</v>
      </c>
      <c r="F164" s="1">
        <f t="shared" si="9"/>
        <v>53.2</v>
      </c>
    </row>
    <row r="165" spans="1:6">
      <c r="A165" s="13" t="s">
        <v>122</v>
      </c>
      <c r="B165" s="10">
        <v>1</v>
      </c>
      <c r="C165" s="8">
        <v>13.3</v>
      </c>
      <c r="D165" s="3" t="s">
        <v>32</v>
      </c>
      <c r="E165" s="1">
        <f t="shared" si="8"/>
        <v>3</v>
      </c>
      <c r="F165" s="1">
        <f t="shared" si="9"/>
        <v>39.900000000000006</v>
      </c>
    </row>
    <row r="166" spans="1:6">
      <c r="A166" s="13" t="s">
        <v>122</v>
      </c>
      <c r="B166" s="10">
        <v>2</v>
      </c>
      <c r="C166" s="8">
        <v>26.6</v>
      </c>
      <c r="D166" s="3" t="s">
        <v>32</v>
      </c>
      <c r="E166" s="1">
        <f t="shared" si="8"/>
        <v>2</v>
      </c>
      <c r="F166" s="1">
        <f t="shared" si="9"/>
        <v>26.6</v>
      </c>
    </row>
    <row r="167" spans="1:6">
      <c r="A167" s="13" t="s">
        <v>122</v>
      </c>
      <c r="B167" s="10">
        <v>44</v>
      </c>
      <c r="C167" s="8">
        <v>0.20499999999999999</v>
      </c>
      <c r="D167" s="3" t="s">
        <v>95</v>
      </c>
      <c r="E167" s="1">
        <f t="shared" si="8"/>
        <v>44</v>
      </c>
      <c r="F167" s="1">
        <f t="shared" si="9"/>
        <v>0.20499999999999999</v>
      </c>
    </row>
    <row r="168" spans="1:6">
      <c r="A168" s="13" t="s">
        <v>122</v>
      </c>
      <c r="B168" s="10">
        <v>1</v>
      </c>
      <c r="C168" s="8">
        <v>2.66</v>
      </c>
      <c r="D168" s="3" t="s">
        <v>57</v>
      </c>
      <c r="E168" s="1">
        <f t="shared" si="8"/>
        <v>6</v>
      </c>
      <c r="F168" s="1">
        <f t="shared" si="9"/>
        <v>15.96</v>
      </c>
    </row>
    <row r="169" spans="1:6">
      <c r="A169" s="13" t="s">
        <v>122</v>
      </c>
      <c r="B169" s="10">
        <v>1</v>
      </c>
      <c r="C169" s="8">
        <v>2.66</v>
      </c>
      <c r="D169" s="3" t="s">
        <v>57</v>
      </c>
      <c r="E169" s="1">
        <f t="shared" si="8"/>
        <v>5</v>
      </c>
      <c r="F169" s="1">
        <f t="shared" si="9"/>
        <v>13.3</v>
      </c>
    </row>
    <row r="170" spans="1:6">
      <c r="A170" s="13" t="s">
        <v>122</v>
      </c>
      <c r="B170" s="10">
        <v>1</v>
      </c>
      <c r="C170" s="8">
        <v>2.66</v>
      </c>
      <c r="D170" s="3" t="s">
        <v>57</v>
      </c>
      <c r="E170" s="1">
        <f t="shared" si="8"/>
        <v>4</v>
      </c>
      <c r="F170" s="1">
        <f t="shared" si="9"/>
        <v>10.64</v>
      </c>
    </row>
    <row r="171" spans="1:6">
      <c r="A171" s="13" t="s">
        <v>122</v>
      </c>
      <c r="B171" s="10">
        <v>3</v>
      </c>
      <c r="C171" s="8">
        <v>7.98</v>
      </c>
      <c r="D171" s="3" t="s">
        <v>57</v>
      </c>
      <c r="E171" s="1">
        <f t="shared" si="8"/>
        <v>3</v>
      </c>
      <c r="F171" s="1">
        <f t="shared" si="9"/>
        <v>7.98</v>
      </c>
    </row>
    <row r="172" spans="1:6">
      <c r="A172" s="13" t="s">
        <v>122</v>
      </c>
      <c r="B172" s="10">
        <v>1</v>
      </c>
      <c r="C172" s="8">
        <v>8.8000000000000007</v>
      </c>
      <c r="D172" s="3" t="s">
        <v>56</v>
      </c>
      <c r="E172" s="1">
        <f t="shared" si="8"/>
        <v>2</v>
      </c>
      <c r="F172" s="1">
        <f t="shared" si="9"/>
        <v>17.600000000000001</v>
      </c>
    </row>
    <row r="173" spans="1:6">
      <c r="A173" s="13" t="s">
        <v>122</v>
      </c>
      <c r="B173" s="10">
        <v>1</v>
      </c>
      <c r="C173" s="8">
        <v>8.8000000000000007</v>
      </c>
      <c r="D173" s="3" t="s">
        <v>56</v>
      </c>
      <c r="E173" s="1">
        <f t="shared" si="8"/>
        <v>1</v>
      </c>
      <c r="F173" s="1">
        <f t="shared" si="9"/>
        <v>8.8000000000000007</v>
      </c>
    </row>
    <row r="174" spans="1:6">
      <c r="A174" s="13" t="s">
        <v>122</v>
      </c>
      <c r="B174" s="10">
        <v>1</v>
      </c>
      <c r="C174" s="8">
        <v>9.1999999999999993</v>
      </c>
      <c r="D174" s="3" t="s">
        <v>53</v>
      </c>
      <c r="E174" s="1">
        <f t="shared" si="8"/>
        <v>7</v>
      </c>
      <c r="F174" s="1">
        <f t="shared" si="9"/>
        <v>81</v>
      </c>
    </row>
    <row r="175" spans="1:6">
      <c r="A175" s="13" t="s">
        <v>122</v>
      </c>
      <c r="B175" s="10">
        <v>1</v>
      </c>
      <c r="C175" s="8">
        <v>9.1999999999999993</v>
      </c>
      <c r="D175" s="3" t="s">
        <v>53</v>
      </c>
      <c r="E175" s="1">
        <f t="shared" si="8"/>
        <v>6</v>
      </c>
      <c r="F175" s="1">
        <f t="shared" si="9"/>
        <v>71.8</v>
      </c>
    </row>
    <row r="176" spans="1:6">
      <c r="A176" s="13" t="s">
        <v>122</v>
      </c>
      <c r="B176" s="10">
        <v>1</v>
      </c>
      <c r="C176" s="8">
        <v>9.1999999999999993</v>
      </c>
      <c r="D176" s="3" t="s">
        <v>53</v>
      </c>
      <c r="E176" s="1">
        <f t="shared" si="8"/>
        <v>5</v>
      </c>
      <c r="F176" s="1">
        <f t="shared" si="9"/>
        <v>62.599999999999994</v>
      </c>
    </row>
    <row r="177" spans="1:6">
      <c r="A177" s="13" t="s">
        <v>122</v>
      </c>
      <c r="B177" s="10">
        <v>4</v>
      </c>
      <c r="C177" s="8">
        <v>53.4</v>
      </c>
      <c r="D177" s="3" t="s">
        <v>53</v>
      </c>
      <c r="E177" s="1">
        <f t="shared" si="8"/>
        <v>4</v>
      </c>
      <c r="F177" s="1">
        <f t="shared" si="9"/>
        <v>53.4</v>
      </c>
    </row>
    <row r="178" spans="1:6" ht="26.25">
      <c r="A178" s="13" t="s">
        <v>122</v>
      </c>
      <c r="B178" s="10">
        <v>1</v>
      </c>
      <c r="C178" s="8">
        <v>15</v>
      </c>
      <c r="D178" s="3" t="s">
        <v>47</v>
      </c>
      <c r="E178" s="1">
        <f t="shared" si="8"/>
        <v>8</v>
      </c>
      <c r="F178" s="1">
        <f t="shared" si="9"/>
        <v>120</v>
      </c>
    </row>
    <row r="179" spans="1:6" ht="26.25">
      <c r="A179" s="13" t="s">
        <v>122</v>
      </c>
      <c r="B179" s="10">
        <v>1</v>
      </c>
      <c r="C179" s="8">
        <v>15</v>
      </c>
      <c r="D179" s="3" t="s">
        <v>47</v>
      </c>
      <c r="E179" s="1">
        <f t="shared" si="8"/>
        <v>7</v>
      </c>
      <c r="F179" s="1">
        <f t="shared" si="9"/>
        <v>105</v>
      </c>
    </row>
    <row r="180" spans="1:6" ht="26.25">
      <c r="A180" s="13" t="s">
        <v>122</v>
      </c>
      <c r="B180" s="10">
        <v>1</v>
      </c>
      <c r="C180" s="8">
        <v>15</v>
      </c>
      <c r="D180" s="3" t="s">
        <v>47</v>
      </c>
      <c r="E180" s="1">
        <f t="shared" si="8"/>
        <v>6</v>
      </c>
      <c r="F180" s="1">
        <f t="shared" si="9"/>
        <v>90</v>
      </c>
    </row>
    <row r="181" spans="1:6" ht="26.25">
      <c r="A181" s="13" t="s">
        <v>122</v>
      </c>
      <c r="B181" s="10">
        <v>1</v>
      </c>
      <c r="C181" s="8">
        <v>15</v>
      </c>
      <c r="D181" s="3" t="s">
        <v>47</v>
      </c>
      <c r="E181" s="1">
        <f t="shared" si="8"/>
        <v>5</v>
      </c>
      <c r="F181" s="1">
        <f t="shared" si="9"/>
        <v>75</v>
      </c>
    </row>
    <row r="182" spans="1:6" ht="26.25">
      <c r="A182" s="13" t="s">
        <v>122</v>
      </c>
      <c r="B182" s="10">
        <v>4</v>
      </c>
      <c r="C182" s="8">
        <v>60</v>
      </c>
      <c r="D182" s="3" t="s">
        <v>47</v>
      </c>
      <c r="E182" s="1">
        <f t="shared" si="8"/>
        <v>4</v>
      </c>
      <c r="F182" s="1">
        <f t="shared" si="9"/>
        <v>60</v>
      </c>
    </row>
    <row r="183" spans="1:6" ht="26.25">
      <c r="A183" s="13" t="s">
        <v>122</v>
      </c>
      <c r="B183" s="10">
        <v>1</v>
      </c>
      <c r="C183" s="8">
        <v>8.8000000000000007</v>
      </c>
      <c r="D183" s="3" t="s">
        <v>50</v>
      </c>
      <c r="E183" s="1">
        <f t="shared" si="8"/>
        <v>2</v>
      </c>
      <c r="F183" s="1">
        <f t="shared" si="9"/>
        <v>17.600000000000001</v>
      </c>
    </row>
    <row r="184" spans="1:6" ht="26.25">
      <c r="A184" s="13" t="s">
        <v>122</v>
      </c>
      <c r="B184" s="10">
        <v>1</v>
      </c>
      <c r="C184" s="8">
        <v>8.8000000000000007</v>
      </c>
      <c r="D184" s="3" t="s">
        <v>50</v>
      </c>
      <c r="E184" s="1">
        <f t="shared" si="8"/>
        <v>1</v>
      </c>
      <c r="F184" s="1">
        <f t="shared" si="9"/>
        <v>8.8000000000000007</v>
      </c>
    </row>
    <row r="185" spans="1:6" ht="26.25">
      <c r="A185" s="13" t="s">
        <v>122</v>
      </c>
      <c r="B185" s="10">
        <v>1</v>
      </c>
      <c r="C185" s="8">
        <v>6.8</v>
      </c>
      <c r="D185" s="3" t="s">
        <v>33</v>
      </c>
      <c r="E185" s="1">
        <f t="shared" si="8"/>
        <v>96</v>
      </c>
      <c r="F185" s="1">
        <f t="shared" si="9"/>
        <v>136.60299999999998</v>
      </c>
    </row>
    <row r="186" spans="1:6" ht="26.25">
      <c r="A186" s="13" t="s">
        <v>122</v>
      </c>
      <c r="B186" s="10">
        <v>1</v>
      </c>
      <c r="C186" s="8">
        <v>6.8</v>
      </c>
      <c r="D186" s="3" t="s">
        <v>33</v>
      </c>
      <c r="E186" s="1">
        <f t="shared" si="8"/>
        <v>95</v>
      </c>
      <c r="F186" s="1">
        <f t="shared" si="9"/>
        <v>129.803</v>
      </c>
    </row>
    <row r="187" spans="1:6" ht="26.25">
      <c r="A187" s="13" t="s">
        <v>122</v>
      </c>
      <c r="B187" s="10">
        <v>1</v>
      </c>
      <c r="C187" s="8">
        <v>6.8</v>
      </c>
      <c r="D187" s="3" t="s">
        <v>33</v>
      </c>
      <c r="E187" s="1">
        <f t="shared" si="8"/>
        <v>94</v>
      </c>
      <c r="F187" s="1">
        <f t="shared" si="9"/>
        <v>123.00299999999999</v>
      </c>
    </row>
    <row r="188" spans="1:6" ht="26.25">
      <c r="A188" s="13" t="s">
        <v>122</v>
      </c>
      <c r="B188" s="10">
        <v>1</v>
      </c>
      <c r="C188" s="8">
        <v>6.8</v>
      </c>
      <c r="D188" s="3" t="s">
        <v>33</v>
      </c>
      <c r="E188" s="1">
        <f t="shared" si="8"/>
        <v>93</v>
      </c>
      <c r="F188" s="1">
        <f t="shared" si="9"/>
        <v>116.203</v>
      </c>
    </row>
    <row r="189" spans="1:6" ht="26.25">
      <c r="A189" s="13" t="s">
        <v>122</v>
      </c>
      <c r="B189" s="10">
        <v>1</v>
      </c>
      <c r="C189" s="8">
        <v>6.8</v>
      </c>
      <c r="D189" s="3" t="s">
        <v>33</v>
      </c>
      <c r="E189" s="1">
        <f t="shared" si="8"/>
        <v>92</v>
      </c>
      <c r="F189" s="1">
        <f t="shared" si="9"/>
        <v>109.40299999999999</v>
      </c>
    </row>
    <row r="190" spans="1:6" ht="26.25">
      <c r="A190" s="13" t="s">
        <v>122</v>
      </c>
      <c r="B190" s="10">
        <v>1</v>
      </c>
      <c r="C190" s="8">
        <v>6.8</v>
      </c>
      <c r="D190" s="3" t="s">
        <v>33</v>
      </c>
      <c r="E190" s="1">
        <f t="shared" si="8"/>
        <v>91</v>
      </c>
      <c r="F190" s="1">
        <f t="shared" si="9"/>
        <v>102.60300000000001</v>
      </c>
    </row>
    <row r="191" spans="1:6" ht="26.25">
      <c r="A191" s="13" t="s">
        <v>122</v>
      </c>
      <c r="B191" s="10">
        <v>1</v>
      </c>
      <c r="C191" s="8">
        <v>6.8</v>
      </c>
      <c r="D191" s="3" t="s">
        <v>33</v>
      </c>
      <c r="E191" s="1">
        <f t="shared" si="8"/>
        <v>90</v>
      </c>
      <c r="F191" s="1">
        <f t="shared" si="9"/>
        <v>95.802999999999997</v>
      </c>
    </row>
    <row r="192" spans="1:6" ht="26.25">
      <c r="A192" s="13" t="s">
        <v>122</v>
      </c>
      <c r="B192" s="10">
        <v>1</v>
      </c>
      <c r="C192" s="8">
        <v>6.8</v>
      </c>
      <c r="D192" s="3" t="s">
        <v>33</v>
      </c>
      <c r="E192" s="1">
        <f t="shared" si="8"/>
        <v>89</v>
      </c>
      <c r="F192" s="1">
        <f t="shared" si="9"/>
        <v>89.003</v>
      </c>
    </row>
    <row r="193" spans="1:6" ht="26.25">
      <c r="A193" s="13" t="s">
        <v>122</v>
      </c>
      <c r="B193" s="10">
        <v>1</v>
      </c>
      <c r="C193" s="8">
        <v>6.8</v>
      </c>
      <c r="D193" s="3" t="s">
        <v>33</v>
      </c>
      <c r="E193" s="1">
        <f t="shared" si="8"/>
        <v>88</v>
      </c>
      <c r="F193" s="1">
        <f t="shared" si="9"/>
        <v>82.203000000000003</v>
      </c>
    </row>
    <row r="194" spans="1:6" ht="26.25">
      <c r="A194" s="13" t="s">
        <v>122</v>
      </c>
      <c r="B194" s="10">
        <v>1</v>
      </c>
      <c r="C194" s="8">
        <v>6.8</v>
      </c>
      <c r="D194" s="3" t="s">
        <v>33</v>
      </c>
      <c r="E194" s="1">
        <f t="shared" si="8"/>
        <v>87</v>
      </c>
      <c r="F194" s="1">
        <f t="shared" si="9"/>
        <v>75.403000000000006</v>
      </c>
    </row>
    <row r="195" spans="1:6" ht="26.25">
      <c r="A195" s="13" t="s">
        <v>122</v>
      </c>
      <c r="B195" s="10">
        <v>76</v>
      </c>
      <c r="C195" s="8">
        <v>0.60299999999999998</v>
      </c>
      <c r="D195" s="3" t="s">
        <v>33</v>
      </c>
      <c r="E195" s="1">
        <f t="shared" si="8"/>
        <v>86</v>
      </c>
      <c r="F195" s="1">
        <f t="shared" si="9"/>
        <v>68.602999999999994</v>
      </c>
    </row>
    <row r="196" spans="1:6" ht="26.25">
      <c r="A196" s="13" t="s">
        <v>122</v>
      </c>
      <c r="B196" s="10">
        <v>10</v>
      </c>
      <c r="C196" s="8">
        <v>68</v>
      </c>
      <c r="D196" s="3" t="s">
        <v>33</v>
      </c>
      <c r="E196" s="1">
        <f t="shared" si="8"/>
        <v>10</v>
      </c>
      <c r="F196" s="1">
        <f t="shared" si="9"/>
        <v>68</v>
      </c>
    </row>
    <row r="197" spans="1:6" ht="26.25">
      <c r="A197" s="13" t="s">
        <v>122</v>
      </c>
      <c r="B197" s="10">
        <v>1</v>
      </c>
      <c r="C197" s="8">
        <v>25.8</v>
      </c>
      <c r="D197" s="3" t="s">
        <v>119</v>
      </c>
      <c r="E197" s="1">
        <f t="shared" si="8"/>
        <v>1</v>
      </c>
      <c r="F197" s="1">
        <f t="shared" si="9"/>
        <v>25.8</v>
      </c>
    </row>
    <row r="198" spans="1:6" ht="26.25">
      <c r="A198" s="13" t="s">
        <v>122</v>
      </c>
      <c r="B198" s="10">
        <v>1</v>
      </c>
      <c r="C198" s="8">
        <v>12.5</v>
      </c>
      <c r="D198" s="3" t="s">
        <v>77</v>
      </c>
      <c r="E198" s="1">
        <f t="shared" si="8"/>
        <v>2</v>
      </c>
      <c r="F198" s="1">
        <f t="shared" si="9"/>
        <v>25</v>
      </c>
    </row>
    <row r="199" spans="1:6" ht="26.25">
      <c r="A199" s="13" t="s">
        <v>122</v>
      </c>
      <c r="B199" s="10">
        <v>1</v>
      </c>
      <c r="C199" s="8">
        <v>12.5</v>
      </c>
      <c r="D199" s="3" t="s">
        <v>77</v>
      </c>
      <c r="E199" s="1">
        <f t="shared" si="8"/>
        <v>1</v>
      </c>
      <c r="F199" s="1">
        <f t="shared" si="9"/>
        <v>12.5</v>
      </c>
    </row>
    <row r="200" spans="1:6" ht="26.25">
      <c r="A200" s="13" t="s">
        <v>122</v>
      </c>
      <c r="B200" s="10">
        <v>1</v>
      </c>
      <c r="C200" s="8">
        <v>33</v>
      </c>
      <c r="D200" s="3" t="s">
        <v>86</v>
      </c>
      <c r="E200" s="1">
        <f t="shared" si="8"/>
        <v>2</v>
      </c>
      <c r="F200" s="1">
        <f t="shared" si="9"/>
        <v>66</v>
      </c>
    </row>
    <row r="201" spans="1:6" ht="26.25">
      <c r="A201" s="13" t="s">
        <v>122</v>
      </c>
      <c r="B201" s="10">
        <v>1</v>
      </c>
      <c r="C201" s="8">
        <v>33</v>
      </c>
      <c r="D201" s="3" t="s">
        <v>86</v>
      </c>
      <c r="E201" s="1">
        <f t="shared" si="8"/>
        <v>1</v>
      </c>
      <c r="F201" s="1">
        <f t="shared" si="9"/>
        <v>33</v>
      </c>
    </row>
    <row r="202" spans="1:6">
      <c r="A202" s="13" t="s">
        <v>122</v>
      </c>
      <c r="B202" s="10">
        <v>3</v>
      </c>
      <c r="C202" s="8">
        <v>62.05</v>
      </c>
      <c r="D202" s="3" t="s">
        <v>115</v>
      </c>
      <c r="E202" s="1">
        <f t="shared" si="8"/>
        <v>3</v>
      </c>
      <c r="F202" s="1">
        <f t="shared" si="9"/>
        <v>62.05</v>
      </c>
    </row>
    <row r="203" spans="1:6" ht="26.25">
      <c r="A203" s="13" t="s">
        <v>122</v>
      </c>
      <c r="B203" s="10">
        <v>1</v>
      </c>
      <c r="C203" s="8">
        <v>12</v>
      </c>
      <c r="D203" s="3" t="s">
        <v>42</v>
      </c>
      <c r="E203" s="1">
        <f t="shared" si="8"/>
        <v>6</v>
      </c>
      <c r="F203" s="1">
        <f t="shared" si="9"/>
        <v>72</v>
      </c>
    </row>
    <row r="204" spans="1:6" ht="26.25">
      <c r="A204" s="13" t="s">
        <v>122</v>
      </c>
      <c r="B204" s="10">
        <v>1</v>
      </c>
      <c r="C204" s="8">
        <v>12</v>
      </c>
      <c r="D204" s="3" t="s">
        <v>42</v>
      </c>
      <c r="E204" s="1">
        <f t="shared" si="8"/>
        <v>5</v>
      </c>
      <c r="F204" s="1">
        <f t="shared" si="9"/>
        <v>60</v>
      </c>
    </row>
    <row r="205" spans="1:6" ht="26.25">
      <c r="A205" s="13" t="s">
        <v>122</v>
      </c>
      <c r="B205" s="10">
        <v>1</v>
      </c>
      <c r="C205" s="8">
        <v>12</v>
      </c>
      <c r="D205" s="3" t="s">
        <v>42</v>
      </c>
      <c r="E205" s="1">
        <f t="shared" si="8"/>
        <v>4</v>
      </c>
      <c r="F205" s="1">
        <f t="shared" si="9"/>
        <v>48</v>
      </c>
    </row>
    <row r="206" spans="1:6" ht="26.25">
      <c r="A206" s="13" t="s">
        <v>122</v>
      </c>
      <c r="B206" s="10">
        <v>3</v>
      </c>
      <c r="C206" s="8">
        <v>36</v>
      </c>
      <c r="D206" s="3" t="s">
        <v>42</v>
      </c>
      <c r="E206" s="1">
        <f t="shared" si="8"/>
        <v>3</v>
      </c>
      <c r="F206" s="1">
        <f t="shared" si="9"/>
        <v>36</v>
      </c>
    </row>
    <row r="207" spans="1:6">
      <c r="A207" s="13" t="s">
        <v>122</v>
      </c>
      <c r="B207" s="10">
        <v>1</v>
      </c>
      <c r="C207" s="8">
        <v>7</v>
      </c>
      <c r="D207" s="3" t="s">
        <v>70</v>
      </c>
      <c r="E207" s="1">
        <f t="shared" si="8"/>
        <v>10</v>
      </c>
      <c r="F207" s="1">
        <f t="shared" si="9"/>
        <v>70</v>
      </c>
    </row>
    <row r="208" spans="1:6">
      <c r="A208" s="13" t="s">
        <v>122</v>
      </c>
      <c r="B208" s="10">
        <v>1</v>
      </c>
      <c r="C208" s="8">
        <v>7</v>
      </c>
      <c r="D208" s="3" t="s">
        <v>70</v>
      </c>
      <c r="E208" s="1">
        <f t="shared" si="8"/>
        <v>9</v>
      </c>
      <c r="F208" s="1">
        <f t="shared" si="9"/>
        <v>63</v>
      </c>
    </row>
    <row r="209" spans="1:6">
      <c r="A209" s="13" t="s">
        <v>122</v>
      </c>
      <c r="B209" s="10">
        <v>1</v>
      </c>
      <c r="C209" s="8">
        <v>7</v>
      </c>
      <c r="D209" s="3" t="s">
        <v>70</v>
      </c>
      <c r="E209" s="1">
        <f t="shared" si="8"/>
        <v>8</v>
      </c>
      <c r="F209" s="1">
        <f t="shared" si="9"/>
        <v>56</v>
      </c>
    </row>
    <row r="210" spans="1:6">
      <c r="A210" s="13" t="s">
        <v>122</v>
      </c>
      <c r="B210" s="10">
        <v>1</v>
      </c>
      <c r="C210" s="8">
        <v>7</v>
      </c>
      <c r="D210" s="3" t="s">
        <v>70</v>
      </c>
      <c r="E210" s="1">
        <f t="shared" si="8"/>
        <v>7</v>
      </c>
      <c r="F210" s="1">
        <f t="shared" si="9"/>
        <v>49</v>
      </c>
    </row>
    <row r="211" spans="1:6">
      <c r="A211" s="13" t="s">
        <v>122</v>
      </c>
      <c r="B211" s="10">
        <v>1</v>
      </c>
      <c r="C211" s="8">
        <v>7</v>
      </c>
      <c r="D211" s="3" t="s">
        <v>70</v>
      </c>
      <c r="E211" s="1">
        <f t="shared" si="8"/>
        <v>6</v>
      </c>
      <c r="F211" s="1">
        <f t="shared" si="9"/>
        <v>42</v>
      </c>
    </row>
    <row r="212" spans="1:6">
      <c r="A212" s="13" t="s">
        <v>122</v>
      </c>
      <c r="B212" s="10">
        <v>5</v>
      </c>
      <c r="C212" s="8">
        <v>35</v>
      </c>
      <c r="D212" s="3" t="s">
        <v>70</v>
      </c>
      <c r="E212" s="1">
        <f t="shared" si="8"/>
        <v>5</v>
      </c>
      <c r="F212" s="1">
        <f t="shared" si="9"/>
        <v>35</v>
      </c>
    </row>
    <row r="213" spans="1:6">
      <c r="A213" s="13" t="s">
        <v>122</v>
      </c>
      <c r="B213" s="10">
        <v>1</v>
      </c>
      <c r="C213" s="8">
        <v>64.870999999999995</v>
      </c>
      <c r="D213" s="3" t="s">
        <v>106</v>
      </c>
      <c r="E213" s="1">
        <f t="shared" si="8"/>
        <v>30</v>
      </c>
      <c r="F213" s="1">
        <f t="shared" si="9"/>
        <v>129.74199999999999</v>
      </c>
    </row>
    <row r="214" spans="1:6">
      <c r="A214" s="13" t="s">
        <v>122</v>
      </c>
      <c r="B214" s="10">
        <v>29</v>
      </c>
      <c r="C214" s="8">
        <v>64.870999999999995</v>
      </c>
      <c r="D214" s="3" t="s">
        <v>106</v>
      </c>
      <c r="E214" s="1">
        <f t="shared" si="8"/>
        <v>29</v>
      </c>
      <c r="F214" s="1">
        <f t="shared" si="9"/>
        <v>64.870999999999995</v>
      </c>
    </row>
    <row r="215" spans="1:6">
      <c r="A215" s="13" t="s">
        <v>122</v>
      </c>
      <c r="B215" s="10">
        <v>1</v>
      </c>
      <c r="C215" s="8">
        <v>13.8</v>
      </c>
      <c r="D215" s="3" t="s">
        <v>62</v>
      </c>
      <c r="E215" s="1">
        <f t="shared" si="8"/>
        <v>6</v>
      </c>
      <c r="F215" s="1">
        <f t="shared" si="9"/>
        <v>82.800000000000011</v>
      </c>
    </row>
    <row r="216" spans="1:6">
      <c r="A216" s="13" t="s">
        <v>122</v>
      </c>
      <c r="B216" s="10">
        <v>1</v>
      </c>
      <c r="C216" s="8">
        <v>13.8</v>
      </c>
      <c r="D216" s="3" t="s">
        <v>62</v>
      </c>
      <c r="E216" s="1">
        <f t="shared" si="8"/>
        <v>5</v>
      </c>
      <c r="F216" s="1">
        <f t="shared" si="9"/>
        <v>69</v>
      </c>
    </row>
    <row r="217" spans="1:6">
      <c r="A217" s="13" t="s">
        <v>122</v>
      </c>
      <c r="B217" s="10">
        <v>1</v>
      </c>
      <c r="C217" s="8">
        <v>13.8</v>
      </c>
      <c r="D217" s="3" t="s">
        <v>62</v>
      </c>
      <c r="E217" s="1">
        <f t="shared" si="8"/>
        <v>4</v>
      </c>
      <c r="F217" s="1">
        <f t="shared" si="9"/>
        <v>55.2</v>
      </c>
    </row>
    <row r="218" spans="1:6">
      <c r="A218" s="13" t="s">
        <v>122</v>
      </c>
      <c r="B218" s="10">
        <v>3</v>
      </c>
      <c r="C218" s="8">
        <v>41.4</v>
      </c>
      <c r="D218" s="3" t="s">
        <v>62</v>
      </c>
      <c r="E218" s="1">
        <f t="shared" si="8"/>
        <v>3</v>
      </c>
      <c r="F218" s="1">
        <f t="shared" si="9"/>
        <v>41.4</v>
      </c>
    </row>
    <row r="219" spans="1:6">
      <c r="A219" s="13" t="s">
        <v>122</v>
      </c>
      <c r="B219" s="10">
        <v>1</v>
      </c>
      <c r="C219" s="8">
        <v>15.177</v>
      </c>
      <c r="D219" s="3" t="s">
        <v>44</v>
      </c>
      <c r="E219" s="1">
        <f t="shared" si="8"/>
        <v>8</v>
      </c>
      <c r="F219" s="1">
        <f t="shared" si="9"/>
        <v>121.41800000000001</v>
      </c>
    </row>
    <row r="220" spans="1:6">
      <c r="A220" s="13" t="s">
        <v>122</v>
      </c>
      <c r="B220" s="10">
        <v>1</v>
      </c>
      <c r="C220" s="8">
        <v>15.177</v>
      </c>
      <c r="D220" s="3" t="s">
        <v>44</v>
      </c>
      <c r="E220" s="1">
        <f t="shared" si="8"/>
        <v>7</v>
      </c>
      <c r="F220" s="1">
        <f t="shared" si="9"/>
        <v>106.241</v>
      </c>
    </row>
    <row r="221" spans="1:6">
      <c r="A221" s="13" t="s">
        <v>122</v>
      </c>
      <c r="B221" s="10">
        <v>1</v>
      </c>
      <c r="C221" s="8">
        <v>15.177</v>
      </c>
      <c r="D221" s="3" t="s">
        <v>44</v>
      </c>
      <c r="E221" s="1">
        <f t="shared" ref="E221:E284" si="10">SUMIF(D221:D598,D221, B221:B598)</f>
        <v>6</v>
      </c>
      <c r="F221" s="1">
        <f t="shared" ref="F221:F284" si="11">SUMIF(D221:D598,D221, C221:C598)</f>
        <v>91.063999999999993</v>
      </c>
    </row>
    <row r="222" spans="1:6">
      <c r="A222" s="13" t="s">
        <v>122</v>
      </c>
      <c r="B222" s="10">
        <v>1</v>
      </c>
      <c r="C222" s="8">
        <v>15.177</v>
      </c>
      <c r="D222" s="3" t="s">
        <v>44</v>
      </c>
      <c r="E222" s="1">
        <f t="shared" si="10"/>
        <v>5</v>
      </c>
      <c r="F222" s="1">
        <f t="shared" si="11"/>
        <v>75.887</v>
      </c>
    </row>
    <row r="223" spans="1:6">
      <c r="A223" s="13" t="s">
        <v>122</v>
      </c>
      <c r="B223" s="10">
        <v>4</v>
      </c>
      <c r="C223" s="8">
        <v>60.71</v>
      </c>
      <c r="D223" s="3" t="s">
        <v>44</v>
      </c>
      <c r="E223" s="1">
        <f t="shared" si="10"/>
        <v>4</v>
      </c>
      <c r="F223" s="1">
        <f t="shared" si="11"/>
        <v>60.71</v>
      </c>
    </row>
    <row r="224" spans="1:6">
      <c r="A224" s="13" t="s">
        <v>16</v>
      </c>
      <c r="B224" s="9">
        <v>59</v>
      </c>
      <c r="C224" s="4">
        <v>351.04899999999998</v>
      </c>
      <c r="D224" s="3" t="s">
        <v>10</v>
      </c>
      <c r="E224" s="1">
        <f t="shared" si="10"/>
        <v>93</v>
      </c>
      <c r="F224" s="1">
        <f t="shared" si="11"/>
        <v>544.13900000000001</v>
      </c>
    </row>
    <row r="225" spans="1:6">
      <c r="A225" s="13" t="s">
        <v>16</v>
      </c>
      <c r="B225" s="9">
        <v>34</v>
      </c>
      <c r="C225" s="4">
        <v>193.09</v>
      </c>
      <c r="D225" s="3" t="s">
        <v>10</v>
      </c>
      <c r="E225" s="1">
        <f t="shared" si="10"/>
        <v>34</v>
      </c>
      <c r="F225" s="1">
        <f t="shared" si="11"/>
        <v>193.09</v>
      </c>
    </row>
    <row r="226" spans="1:6">
      <c r="A226" s="13" t="s">
        <v>16</v>
      </c>
      <c r="B226" s="9">
        <v>10</v>
      </c>
      <c r="C226" s="4">
        <v>147.69800000000001</v>
      </c>
      <c r="D226" s="3" t="s">
        <v>7</v>
      </c>
      <c r="E226" s="1">
        <f t="shared" si="10"/>
        <v>197</v>
      </c>
      <c r="F226" s="1">
        <f t="shared" si="11"/>
        <v>2708.2080000000001</v>
      </c>
    </row>
    <row r="227" spans="1:6">
      <c r="A227" s="13" t="s">
        <v>16</v>
      </c>
      <c r="B227" s="9">
        <v>187</v>
      </c>
      <c r="C227" s="4">
        <v>2560.5100000000002</v>
      </c>
      <c r="D227" s="3" t="s">
        <v>7</v>
      </c>
      <c r="E227" s="1">
        <f t="shared" si="10"/>
        <v>187</v>
      </c>
      <c r="F227" s="1">
        <f t="shared" si="11"/>
        <v>2560.5100000000002</v>
      </c>
    </row>
    <row r="228" spans="1:6">
      <c r="A228" s="13" t="s">
        <v>122</v>
      </c>
      <c r="B228" s="10">
        <v>2</v>
      </c>
      <c r="C228" s="8">
        <v>2.8029999999999999</v>
      </c>
      <c r="D228" s="3" t="s">
        <v>96</v>
      </c>
      <c r="E228" s="1">
        <f t="shared" si="10"/>
        <v>2</v>
      </c>
      <c r="F228" s="1">
        <f t="shared" si="11"/>
        <v>2.8029999999999999</v>
      </c>
    </row>
    <row r="229" spans="1:6" ht="26.25">
      <c r="A229" s="13" t="s">
        <v>122</v>
      </c>
      <c r="B229" s="10">
        <v>1</v>
      </c>
      <c r="C229" s="8">
        <v>20.6</v>
      </c>
      <c r="D229" s="3" t="s">
        <v>108</v>
      </c>
      <c r="E229" s="1">
        <f t="shared" si="10"/>
        <v>2</v>
      </c>
      <c r="F229" s="1">
        <f t="shared" si="11"/>
        <v>41.2</v>
      </c>
    </row>
    <row r="230" spans="1:6" ht="26.25">
      <c r="A230" s="13" t="s">
        <v>122</v>
      </c>
      <c r="B230" s="10">
        <v>1</v>
      </c>
      <c r="C230" s="8">
        <v>20.6</v>
      </c>
      <c r="D230" s="3" t="s">
        <v>108</v>
      </c>
      <c r="E230" s="1">
        <f t="shared" si="10"/>
        <v>1</v>
      </c>
      <c r="F230" s="1">
        <f t="shared" si="11"/>
        <v>20.6</v>
      </c>
    </row>
    <row r="231" spans="1:6">
      <c r="A231" s="13" t="s">
        <v>122</v>
      </c>
      <c r="B231" s="10">
        <v>1</v>
      </c>
      <c r="C231" s="8">
        <v>14</v>
      </c>
      <c r="D231" s="3" t="s">
        <v>41</v>
      </c>
      <c r="E231" s="1">
        <f t="shared" si="10"/>
        <v>14</v>
      </c>
      <c r="F231" s="1">
        <f t="shared" si="11"/>
        <v>187</v>
      </c>
    </row>
    <row r="232" spans="1:6">
      <c r="A232" s="13" t="s">
        <v>122</v>
      </c>
      <c r="B232" s="10">
        <v>1</v>
      </c>
      <c r="C232" s="8">
        <v>14</v>
      </c>
      <c r="D232" s="3" t="s">
        <v>41</v>
      </c>
      <c r="E232" s="1">
        <f t="shared" si="10"/>
        <v>13</v>
      </c>
      <c r="F232" s="1">
        <f t="shared" si="11"/>
        <v>173</v>
      </c>
    </row>
    <row r="233" spans="1:6">
      <c r="A233" s="13" t="s">
        <v>122</v>
      </c>
      <c r="B233" s="10">
        <v>1</v>
      </c>
      <c r="C233" s="8">
        <v>14</v>
      </c>
      <c r="D233" s="3" t="s">
        <v>41</v>
      </c>
      <c r="E233" s="1">
        <f t="shared" si="10"/>
        <v>12</v>
      </c>
      <c r="F233" s="1">
        <f t="shared" si="11"/>
        <v>159</v>
      </c>
    </row>
    <row r="234" spans="1:6">
      <c r="A234" s="13" t="s">
        <v>122</v>
      </c>
      <c r="B234" s="10">
        <v>1</v>
      </c>
      <c r="C234" s="8">
        <v>14</v>
      </c>
      <c r="D234" s="3" t="s">
        <v>41</v>
      </c>
      <c r="E234" s="1">
        <f t="shared" si="10"/>
        <v>11</v>
      </c>
      <c r="F234" s="1">
        <f t="shared" si="11"/>
        <v>145</v>
      </c>
    </row>
    <row r="235" spans="1:6">
      <c r="A235" s="13" t="s">
        <v>122</v>
      </c>
      <c r="B235" s="10">
        <v>1</v>
      </c>
      <c r="C235" s="8">
        <v>14</v>
      </c>
      <c r="D235" s="3" t="s">
        <v>41</v>
      </c>
      <c r="E235" s="1">
        <f t="shared" si="10"/>
        <v>10</v>
      </c>
      <c r="F235" s="1">
        <f t="shared" si="11"/>
        <v>131</v>
      </c>
    </row>
    <row r="236" spans="1:6">
      <c r="A236" s="13" t="s">
        <v>122</v>
      </c>
      <c r="B236" s="10">
        <v>1</v>
      </c>
      <c r="C236" s="8">
        <v>14</v>
      </c>
      <c r="D236" s="3" t="s">
        <v>41</v>
      </c>
      <c r="E236" s="1">
        <f t="shared" si="10"/>
        <v>9</v>
      </c>
      <c r="F236" s="1">
        <f t="shared" si="11"/>
        <v>117</v>
      </c>
    </row>
    <row r="237" spans="1:6">
      <c r="A237" s="13" t="s">
        <v>122</v>
      </c>
      <c r="B237" s="10">
        <v>1</v>
      </c>
      <c r="C237" s="8">
        <v>9.5</v>
      </c>
      <c r="D237" s="3" t="s">
        <v>41</v>
      </c>
      <c r="E237" s="1">
        <f t="shared" si="10"/>
        <v>8</v>
      </c>
      <c r="F237" s="1">
        <f t="shared" si="11"/>
        <v>103</v>
      </c>
    </row>
    <row r="238" spans="1:6">
      <c r="A238" s="13" t="s">
        <v>122</v>
      </c>
      <c r="B238" s="10">
        <v>6</v>
      </c>
      <c r="C238" s="8">
        <v>84</v>
      </c>
      <c r="D238" s="3" t="s">
        <v>41</v>
      </c>
      <c r="E238" s="1">
        <f t="shared" si="10"/>
        <v>7</v>
      </c>
      <c r="F238" s="1">
        <f t="shared" si="11"/>
        <v>93.5</v>
      </c>
    </row>
    <row r="239" spans="1:6">
      <c r="A239" s="13" t="s">
        <v>122</v>
      </c>
      <c r="B239" s="10">
        <v>1</v>
      </c>
      <c r="C239" s="8">
        <v>9.5</v>
      </c>
      <c r="D239" s="3" t="s">
        <v>41</v>
      </c>
      <c r="E239" s="1">
        <f t="shared" si="10"/>
        <v>1</v>
      </c>
      <c r="F239" s="1">
        <f t="shared" si="11"/>
        <v>9.5</v>
      </c>
    </row>
    <row r="240" spans="1:6">
      <c r="A240" s="13" t="s">
        <v>122</v>
      </c>
      <c r="B240" s="10">
        <v>3</v>
      </c>
      <c r="C240" s="8">
        <v>68</v>
      </c>
      <c r="D240" s="3" t="s">
        <v>117</v>
      </c>
      <c r="E240" s="1">
        <f t="shared" si="10"/>
        <v>3</v>
      </c>
      <c r="F240" s="1">
        <f t="shared" si="11"/>
        <v>68</v>
      </c>
    </row>
    <row r="241" spans="1:6">
      <c r="A241" s="13" t="s">
        <v>122</v>
      </c>
      <c r="B241" s="10">
        <v>1</v>
      </c>
      <c r="C241" s="8">
        <v>39.6</v>
      </c>
      <c r="D241" s="3" t="s">
        <v>105</v>
      </c>
      <c r="E241" s="1">
        <f t="shared" si="10"/>
        <v>5</v>
      </c>
      <c r="F241" s="1">
        <f t="shared" si="11"/>
        <v>79.2</v>
      </c>
    </row>
    <row r="242" spans="1:6">
      <c r="A242" s="13" t="s">
        <v>122</v>
      </c>
      <c r="B242" s="10">
        <v>4</v>
      </c>
      <c r="C242" s="8">
        <v>39.6</v>
      </c>
      <c r="D242" s="3" t="s">
        <v>105</v>
      </c>
      <c r="E242" s="1">
        <f t="shared" si="10"/>
        <v>4</v>
      </c>
      <c r="F242" s="1">
        <f t="shared" si="11"/>
        <v>39.6</v>
      </c>
    </row>
    <row r="243" spans="1:6">
      <c r="A243" s="13" t="s">
        <v>20</v>
      </c>
      <c r="B243" s="9">
        <v>946</v>
      </c>
      <c r="C243" s="4">
        <v>999.827</v>
      </c>
      <c r="D243" s="3" t="s">
        <v>17</v>
      </c>
      <c r="E243" s="1">
        <f t="shared" si="10"/>
        <v>946</v>
      </c>
      <c r="F243" s="1">
        <f t="shared" si="11"/>
        <v>999.827</v>
      </c>
    </row>
    <row r="244" spans="1:6">
      <c r="A244" s="13" t="s">
        <v>122</v>
      </c>
      <c r="B244" s="10">
        <v>1</v>
      </c>
      <c r="C244" s="8">
        <v>15</v>
      </c>
      <c r="D244" s="3" t="s">
        <v>71</v>
      </c>
      <c r="E244" s="1">
        <f t="shared" si="10"/>
        <v>6</v>
      </c>
      <c r="F244" s="1">
        <f t="shared" si="11"/>
        <v>90</v>
      </c>
    </row>
    <row r="245" spans="1:6">
      <c r="A245" s="13" t="s">
        <v>122</v>
      </c>
      <c r="B245" s="10">
        <v>1</v>
      </c>
      <c r="C245" s="8">
        <v>15</v>
      </c>
      <c r="D245" s="3" t="s">
        <v>71</v>
      </c>
      <c r="E245" s="1">
        <f t="shared" si="10"/>
        <v>5</v>
      </c>
      <c r="F245" s="1">
        <f t="shared" si="11"/>
        <v>75</v>
      </c>
    </row>
    <row r="246" spans="1:6">
      <c r="A246" s="13" t="s">
        <v>122</v>
      </c>
      <c r="B246" s="10">
        <v>1</v>
      </c>
      <c r="C246" s="8">
        <v>15</v>
      </c>
      <c r="D246" s="3" t="s">
        <v>71</v>
      </c>
      <c r="E246" s="1">
        <f t="shared" si="10"/>
        <v>4</v>
      </c>
      <c r="F246" s="1">
        <f t="shared" si="11"/>
        <v>60</v>
      </c>
    </row>
    <row r="247" spans="1:6">
      <c r="A247" s="13" t="s">
        <v>122</v>
      </c>
      <c r="B247" s="10">
        <v>3</v>
      </c>
      <c r="C247" s="8">
        <v>45</v>
      </c>
      <c r="D247" s="3" t="s">
        <v>71</v>
      </c>
      <c r="E247" s="1">
        <f t="shared" si="10"/>
        <v>3</v>
      </c>
      <c r="F247" s="1">
        <f t="shared" si="11"/>
        <v>45</v>
      </c>
    </row>
    <row r="248" spans="1:6">
      <c r="A248" s="13" t="s">
        <v>122</v>
      </c>
      <c r="B248" s="10">
        <v>1</v>
      </c>
      <c r="C248" s="8">
        <v>8.1</v>
      </c>
      <c r="D248" s="3" t="s">
        <v>118</v>
      </c>
      <c r="E248" s="1">
        <f t="shared" si="10"/>
        <v>1</v>
      </c>
      <c r="F248" s="1">
        <f t="shared" si="11"/>
        <v>8.1</v>
      </c>
    </row>
    <row r="249" spans="1:6">
      <c r="A249" s="13" t="s">
        <v>16</v>
      </c>
      <c r="B249" s="9">
        <v>246</v>
      </c>
      <c r="C249" s="4">
        <v>2425.2979999999998</v>
      </c>
      <c r="D249" s="3" t="s">
        <v>5</v>
      </c>
      <c r="E249" s="1">
        <f t="shared" si="10"/>
        <v>246</v>
      </c>
      <c r="F249" s="1">
        <f t="shared" si="11"/>
        <v>2425.2979999999998</v>
      </c>
    </row>
    <row r="250" spans="1:6">
      <c r="A250" s="13" t="s">
        <v>122</v>
      </c>
      <c r="B250" s="10">
        <v>1</v>
      </c>
      <c r="C250" s="8">
        <v>18</v>
      </c>
      <c r="D250" s="3" t="s">
        <v>84</v>
      </c>
      <c r="E250" s="1">
        <f t="shared" si="10"/>
        <v>10</v>
      </c>
      <c r="F250" s="1">
        <f t="shared" si="11"/>
        <v>180</v>
      </c>
    </row>
    <row r="251" spans="1:6">
      <c r="A251" s="13" t="s">
        <v>122</v>
      </c>
      <c r="B251" s="10">
        <v>1</v>
      </c>
      <c r="C251" s="8">
        <v>18</v>
      </c>
      <c r="D251" s="3" t="s">
        <v>84</v>
      </c>
      <c r="E251" s="1">
        <f t="shared" si="10"/>
        <v>9</v>
      </c>
      <c r="F251" s="1">
        <f t="shared" si="11"/>
        <v>162</v>
      </c>
    </row>
    <row r="252" spans="1:6">
      <c r="A252" s="13" t="s">
        <v>122</v>
      </c>
      <c r="B252" s="10">
        <v>1</v>
      </c>
      <c r="C252" s="8">
        <v>18</v>
      </c>
      <c r="D252" s="3" t="s">
        <v>84</v>
      </c>
      <c r="E252" s="1">
        <f t="shared" si="10"/>
        <v>8</v>
      </c>
      <c r="F252" s="1">
        <f t="shared" si="11"/>
        <v>144</v>
      </c>
    </row>
    <row r="253" spans="1:6">
      <c r="A253" s="13" t="s">
        <v>122</v>
      </c>
      <c r="B253" s="10">
        <v>1</v>
      </c>
      <c r="C253" s="8">
        <v>18</v>
      </c>
      <c r="D253" s="3" t="s">
        <v>84</v>
      </c>
      <c r="E253" s="1">
        <f t="shared" si="10"/>
        <v>7</v>
      </c>
      <c r="F253" s="1">
        <f t="shared" si="11"/>
        <v>126</v>
      </c>
    </row>
    <row r="254" spans="1:6">
      <c r="A254" s="13" t="s">
        <v>122</v>
      </c>
      <c r="B254" s="10">
        <v>1</v>
      </c>
      <c r="C254" s="8">
        <v>18</v>
      </c>
      <c r="D254" s="3" t="s">
        <v>84</v>
      </c>
      <c r="E254" s="1">
        <f t="shared" si="10"/>
        <v>6</v>
      </c>
      <c r="F254" s="1">
        <f t="shared" si="11"/>
        <v>108</v>
      </c>
    </row>
    <row r="255" spans="1:6">
      <c r="A255" s="13" t="s">
        <v>122</v>
      </c>
      <c r="B255" s="10">
        <v>5</v>
      </c>
      <c r="C255" s="8">
        <v>90</v>
      </c>
      <c r="D255" s="3" t="s">
        <v>84</v>
      </c>
      <c r="E255" s="1">
        <f t="shared" si="10"/>
        <v>5</v>
      </c>
      <c r="F255" s="1">
        <f t="shared" si="11"/>
        <v>90</v>
      </c>
    </row>
    <row r="256" spans="1:6">
      <c r="A256" s="13" t="s">
        <v>123</v>
      </c>
      <c r="B256" s="9">
        <v>41</v>
      </c>
      <c r="C256" s="4">
        <v>187.48099999999999</v>
      </c>
      <c r="D256" s="3" t="s">
        <v>27</v>
      </c>
      <c r="E256" s="1">
        <f t="shared" si="10"/>
        <v>41</v>
      </c>
      <c r="F256" s="1">
        <f t="shared" si="11"/>
        <v>187.48099999999999</v>
      </c>
    </row>
    <row r="257" spans="1:6">
      <c r="A257" s="13" t="s">
        <v>16</v>
      </c>
      <c r="B257" s="9">
        <v>171</v>
      </c>
      <c r="C257" s="4">
        <v>1003.295</v>
      </c>
      <c r="D257" s="3" t="s">
        <v>12</v>
      </c>
      <c r="E257" s="1">
        <f t="shared" si="10"/>
        <v>171</v>
      </c>
      <c r="F257" s="1">
        <f t="shared" si="11"/>
        <v>1003.295</v>
      </c>
    </row>
    <row r="258" spans="1:6" ht="26.25">
      <c r="A258" s="13" t="s">
        <v>122</v>
      </c>
      <c r="B258" s="10">
        <v>1</v>
      </c>
      <c r="C258" s="8">
        <v>22.87</v>
      </c>
      <c r="D258" s="3" t="s">
        <v>109</v>
      </c>
      <c r="E258" s="1">
        <f t="shared" si="10"/>
        <v>2</v>
      </c>
      <c r="F258" s="1">
        <f t="shared" si="11"/>
        <v>45.74</v>
      </c>
    </row>
    <row r="259" spans="1:6" ht="26.25">
      <c r="A259" s="13" t="s">
        <v>122</v>
      </c>
      <c r="B259" s="10">
        <v>1</v>
      </c>
      <c r="C259" s="8">
        <v>22.87</v>
      </c>
      <c r="D259" s="3" t="s">
        <v>109</v>
      </c>
      <c r="E259" s="1">
        <f t="shared" si="10"/>
        <v>1</v>
      </c>
      <c r="F259" s="1">
        <f t="shared" si="11"/>
        <v>22.87</v>
      </c>
    </row>
    <row r="260" spans="1:6">
      <c r="A260" s="13" t="s">
        <v>16</v>
      </c>
      <c r="B260" s="9">
        <v>216</v>
      </c>
      <c r="C260" s="4">
        <v>1489.7439999999999</v>
      </c>
      <c r="D260" s="3" t="s">
        <v>9</v>
      </c>
      <c r="E260" s="1">
        <f t="shared" si="10"/>
        <v>822</v>
      </c>
      <c r="F260" s="1">
        <f t="shared" si="11"/>
        <v>5976.1639999999998</v>
      </c>
    </row>
    <row r="261" spans="1:6">
      <c r="A261" s="13" t="s">
        <v>16</v>
      </c>
      <c r="B261" s="9">
        <v>352</v>
      </c>
      <c r="C261" s="4">
        <v>2531.48</v>
      </c>
      <c r="D261" s="3" t="s">
        <v>9</v>
      </c>
      <c r="E261" s="1">
        <f t="shared" si="10"/>
        <v>606</v>
      </c>
      <c r="F261" s="1">
        <f t="shared" si="11"/>
        <v>4486.42</v>
      </c>
    </row>
    <row r="262" spans="1:6">
      <c r="A262" s="13" t="s">
        <v>16</v>
      </c>
      <c r="B262" s="9">
        <v>138</v>
      </c>
      <c r="C262" s="4">
        <v>987.46199999999999</v>
      </c>
      <c r="D262" s="3" t="s">
        <v>9</v>
      </c>
      <c r="E262" s="1">
        <f t="shared" si="10"/>
        <v>254</v>
      </c>
      <c r="F262" s="1">
        <f t="shared" si="11"/>
        <v>1954.94</v>
      </c>
    </row>
    <row r="263" spans="1:6">
      <c r="A263" s="13" t="s">
        <v>16</v>
      </c>
      <c r="B263" s="9">
        <v>116</v>
      </c>
      <c r="C263" s="4">
        <v>967.47799999999995</v>
      </c>
      <c r="D263" s="3" t="s">
        <v>9</v>
      </c>
      <c r="E263" s="1">
        <f t="shared" si="10"/>
        <v>116</v>
      </c>
      <c r="F263" s="1">
        <f t="shared" si="11"/>
        <v>967.47799999999995</v>
      </c>
    </row>
    <row r="264" spans="1:6">
      <c r="A264" s="13" t="s">
        <v>20</v>
      </c>
      <c r="B264" s="9">
        <v>445</v>
      </c>
      <c r="C264" s="4">
        <v>510.16199999999998</v>
      </c>
      <c r="D264" s="3" t="s">
        <v>18</v>
      </c>
      <c r="E264" s="1">
        <f t="shared" si="10"/>
        <v>874</v>
      </c>
      <c r="F264" s="1">
        <f t="shared" si="11"/>
        <v>1121.9010000000001</v>
      </c>
    </row>
    <row r="265" spans="1:6">
      <c r="A265" s="13" t="s">
        <v>20</v>
      </c>
      <c r="B265" s="9">
        <v>429</v>
      </c>
      <c r="C265" s="4">
        <v>611.73900000000003</v>
      </c>
      <c r="D265" s="3" t="s">
        <v>18</v>
      </c>
      <c r="E265" s="1">
        <f t="shared" si="10"/>
        <v>429</v>
      </c>
      <c r="F265" s="1">
        <f t="shared" si="11"/>
        <v>611.73900000000003</v>
      </c>
    </row>
    <row r="266" spans="1:6">
      <c r="A266" s="13" t="s">
        <v>31</v>
      </c>
      <c r="B266" s="9">
        <v>47</v>
      </c>
      <c r="C266" s="4">
        <v>106.63200000000001</v>
      </c>
      <c r="D266" s="3" t="s">
        <v>28</v>
      </c>
      <c r="E266" s="1">
        <f t="shared" si="10"/>
        <v>47</v>
      </c>
      <c r="F266" s="1">
        <f t="shared" si="11"/>
        <v>106.63200000000001</v>
      </c>
    </row>
    <row r="267" spans="1:6">
      <c r="A267" s="13" t="s">
        <v>122</v>
      </c>
      <c r="B267" s="10">
        <v>1</v>
      </c>
      <c r="C267" s="8">
        <v>12.97</v>
      </c>
      <c r="D267" s="3" t="s">
        <v>46</v>
      </c>
      <c r="E267" s="1">
        <f t="shared" si="10"/>
        <v>16</v>
      </c>
      <c r="F267" s="1">
        <f t="shared" si="11"/>
        <v>207.52</v>
      </c>
    </row>
    <row r="268" spans="1:6">
      <c r="A268" s="13" t="s">
        <v>122</v>
      </c>
      <c r="B268" s="10">
        <v>1</v>
      </c>
      <c r="C268" s="8">
        <v>12.97</v>
      </c>
      <c r="D268" s="3" t="s">
        <v>46</v>
      </c>
      <c r="E268" s="1">
        <f t="shared" si="10"/>
        <v>15</v>
      </c>
      <c r="F268" s="1">
        <f t="shared" si="11"/>
        <v>194.55</v>
      </c>
    </row>
    <row r="269" spans="1:6">
      <c r="A269" s="13" t="s">
        <v>122</v>
      </c>
      <c r="B269" s="10">
        <v>1</v>
      </c>
      <c r="C269" s="8">
        <v>12.97</v>
      </c>
      <c r="D269" s="3" t="s">
        <v>46</v>
      </c>
      <c r="E269" s="1">
        <f t="shared" si="10"/>
        <v>14</v>
      </c>
      <c r="F269" s="1">
        <f t="shared" si="11"/>
        <v>181.58</v>
      </c>
    </row>
    <row r="270" spans="1:6">
      <c r="A270" s="13" t="s">
        <v>122</v>
      </c>
      <c r="B270" s="10">
        <v>1</v>
      </c>
      <c r="C270" s="8">
        <v>12.97</v>
      </c>
      <c r="D270" s="3" t="s">
        <v>46</v>
      </c>
      <c r="E270" s="1">
        <f t="shared" si="10"/>
        <v>13</v>
      </c>
      <c r="F270" s="1">
        <f t="shared" si="11"/>
        <v>168.61</v>
      </c>
    </row>
    <row r="271" spans="1:6">
      <c r="A271" s="13" t="s">
        <v>122</v>
      </c>
      <c r="B271" s="10">
        <v>1</v>
      </c>
      <c r="C271" s="8">
        <v>12.97</v>
      </c>
      <c r="D271" s="3" t="s">
        <v>46</v>
      </c>
      <c r="E271" s="1">
        <f t="shared" si="10"/>
        <v>12</v>
      </c>
      <c r="F271" s="1">
        <f t="shared" si="11"/>
        <v>155.64000000000001</v>
      </c>
    </row>
    <row r="272" spans="1:6">
      <c r="A272" s="13" t="s">
        <v>122</v>
      </c>
      <c r="B272" s="10">
        <v>1</v>
      </c>
      <c r="C272" s="8">
        <v>12.97</v>
      </c>
      <c r="D272" s="3" t="s">
        <v>46</v>
      </c>
      <c r="E272" s="1">
        <f t="shared" si="10"/>
        <v>11</v>
      </c>
      <c r="F272" s="1">
        <f t="shared" si="11"/>
        <v>142.67000000000002</v>
      </c>
    </row>
    <row r="273" spans="1:6">
      <c r="A273" s="13" t="s">
        <v>122</v>
      </c>
      <c r="B273" s="10">
        <v>1</v>
      </c>
      <c r="C273" s="8">
        <v>12.97</v>
      </c>
      <c r="D273" s="3" t="s">
        <v>46</v>
      </c>
      <c r="E273" s="1">
        <f t="shared" si="10"/>
        <v>10</v>
      </c>
      <c r="F273" s="1">
        <f t="shared" si="11"/>
        <v>129.70000000000002</v>
      </c>
    </row>
    <row r="274" spans="1:6">
      <c r="A274" s="13" t="s">
        <v>122</v>
      </c>
      <c r="B274" s="10">
        <v>1</v>
      </c>
      <c r="C274" s="8">
        <v>12.97</v>
      </c>
      <c r="D274" s="3" t="s">
        <v>46</v>
      </c>
      <c r="E274" s="1">
        <f t="shared" si="10"/>
        <v>9</v>
      </c>
      <c r="F274" s="1">
        <f t="shared" si="11"/>
        <v>116.73</v>
      </c>
    </row>
    <row r="275" spans="1:6">
      <c r="A275" s="13" t="s">
        <v>122</v>
      </c>
      <c r="B275" s="10">
        <v>8</v>
      </c>
      <c r="C275" s="8">
        <v>103.76</v>
      </c>
      <c r="D275" s="3" t="s">
        <v>46</v>
      </c>
      <c r="E275" s="1">
        <f t="shared" si="10"/>
        <v>8</v>
      </c>
      <c r="F275" s="1">
        <f t="shared" si="11"/>
        <v>103.76</v>
      </c>
    </row>
    <row r="276" spans="1:6">
      <c r="A276" s="13" t="s">
        <v>16</v>
      </c>
      <c r="B276" s="9">
        <v>32</v>
      </c>
      <c r="C276" s="4">
        <v>139.108</v>
      </c>
      <c r="D276" s="3" t="s">
        <v>15</v>
      </c>
      <c r="E276" s="1">
        <f t="shared" si="10"/>
        <v>32</v>
      </c>
      <c r="F276" s="1">
        <f t="shared" si="11"/>
        <v>139.108</v>
      </c>
    </row>
    <row r="277" spans="1:6">
      <c r="A277" s="13" t="s">
        <v>122</v>
      </c>
      <c r="B277" s="10">
        <v>1</v>
      </c>
      <c r="C277" s="8">
        <v>36</v>
      </c>
      <c r="D277" s="3" t="s">
        <v>99</v>
      </c>
      <c r="E277" s="1">
        <f t="shared" si="10"/>
        <v>8</v>
      </c>
      <c r="F277" s="1">
        <f t="shared" si="11"/>
        <v>144</v>
      </c>
    </row>
    <row r="278" spans="1:6">
      <c r="A278" s="13" t="s">
        <v>122</v>
      </c>
      <c r="B278" s="10">
        <v>1</v>
      </c>
      <c r="C278" s="8">
        <v>36</v>
      </c>
      <c r="D278" s="3" t="s">
        <v>99</v>
      </c>
      <c r="E278" s="1">
        <f t="shared" si="10"/>
        <v>7</v>
      </c>
      <c r="F278" s="1">
        <f t="shared" si="11"/>
        <v>108</v>
      </c>
    </row>
    <row r="279" spans="1:6">
      <c r="A279" s="13" t="s">
        <v>122</v>
      </c>
      <c r="B279" s="10">
        <v>6</v>
      </c>
      <c r="C279" s="8">
        <v>72</v>
      </c>
      <c r="D279" s="3" t="s">
        <v>99</v>
      </c>
      <c r="E279" s="1">
        <f t="shared" si="10"/>
        <v>6</v>
      </c>
      <c r="F279" s="1">
        <f t="shared" si="11"/>
        <v>72</v>
      </c>
    </row>
    <row r="280" spans="1:6">
      <c r="A280" s="13" t="s">
        <v>122</v>
      </c>
      <c r="B280" s="10">
        <v>1</v>
      </c>
      <c r="C280" s="8">
        <v>16</v>
      </c>
      <c r="D280" s="3" t="s">
        <v>82</v>
      </c>
      <c r="E280" s="1">
        <f t="shared" si="10"/>
        <v>6</v>
      </c>
      <c r="F280" s="1">
        <f t="shared" si="11"/>
        <v>96</v>
      </c>
    </row>
    <row r="281" spans="1:6">
      <c r="A281" s="13" t="s">
        <v>122</v>
      </c>
      <c r="B281" s="10">
        <v>1</v>
      </c>
      <c r="C281" s="8">
        <v>16</v>
      </c>
      <c r="D281" s="3" t="s">
        <v>82</v>
      </c>
      <c r="E281" s="1">
        <f t="shared" si="10"/>
        <v>5</v>
      </c>
      <c r="F281" s="1">
        <f t="shared" si="11"/>
        <v>80</v>
      </c>
    </row>
    <row r="282" spans="1:6">
      <c r="A282" s="13" t="s">
        <v>122</v>
      </c>
      <c r="B282" s="10">
        <v>1</v>
      </c>
      <c r="C282" s="8">
        <v>16</v>
      </c>
      <c r="D282" s="3" t="s">
        <v>82</v>
      </c>
      <c r="E282" s="1">
        <f t="shared" si="10"/>
        <v>4</v>
      </c>
      <c r="F282" s="1">
        <f t="shared" si="11"/>
        <v>64</v>
      </c>
    </row>
    <row r="283" spans="1:6">
      <c r="A283" s="13" t="s">
        <v>122</v>
      </c>
      <c r="B283" s="10">
        <v>3</v>
      </c>
      <c r="C283" s="8">
        <v>48</v>
      </c>
      <c r="D283" s="3" t="s">
        <v>82</v>
      </c>
      <c r="E283" s="1">
        <f t="shared" si="10"/>
        <v>3</v>
      </c>
      <c r="F283" s="1">
        <f t="shared" si="11"/>
        <v>48</v>
      </c>
    </row>
    <row r="284" spans="1:6">
      <c r="A284" s="13" t="s">
        <v>16</v>
      </c>
      <c r="B284" s="9">
        <v>52</v>
      </c>
      <c r="C284" s="4">
        <v>528.005</v>
      </c>
      <c r="D284" s="3" t="s">
        <v>6</v>
      </c>
      <c r="E284" s="1">
        <f t="shared" si="10"/>
        <v>52</v>
      </c>
      <c r="F284" s="1">
        <f t="shared" si="11"/>
        <v>528.005</v>
      </c>
    </row>
    <row r="285" spans="1:6">
      <c r="A285" s="13" t="s">
        <v>22</v>
      </c>
      <c r="B285" s="9">
        <v>87</v>
      </c>
      <c r="C285" s="4">
        <v>97.688999999999993</v>
      </c>
      <c r="D285" s="3" t="s">
        <v>21</v>
      </c>
      <c r="E285" s="1">
        <f t="shared" ref="E285:E348" si="12">SUMIF(D285:D662,D285, B285:B662)</f>
        <v>87</v>
      </c>
      <c r="F285" s="1">
        <f t="shared" ref="F285:F348" si="13">SUMIF(D285:D662,D285, C285:C662)</f>
        <v>97.688999999999993</v>
      </c>
    </row>
    <row r="286" spans="1:6">
      <c r="A286" s="13" t="s">
        <v>122</v>
      </c>
      <c r="B286" s="10">
        <v>1</v>
      </c>
      <c r="C286" s="8">
        <v>8.35</v>
      </c>
      <c r="D286" s="3" t="s">
        <v>51</v>
      </c>
      <c r="E286" s="1">
        <f t="shared" si="12"/>
        <v>9</v>
      </c>
      <c r="F286" s="1">
        <f t="shared" si="13"/>
        <v>92.6</v>
      </c>
    </row>
    <row r="287" spans="1:6">
      <c r="A287" s="13" t="s">
        <v>122</v>
      </c>
      <c r="B287" s="10">
        <v>1</v>
      </c>
      <c r="C287" s="8">
        <v>8.35</v>
      </c>
      <c r="D287" s="3" t="s">
        <v>51</v>
      </c>
      <c r="E287" s="1">
        <f t="shared" si="12"/>
        <v>8</v>
      </c>
      <c r="F287" s="1">
        <f t="shared" si="13"/>
        <v>84.25</v>
      </c>
    </row>
    <row r="288" spans="1:6">
      <c r="A288" s="13" t="s">
        <v>122</v>
      </c>
      <c r="B288" s="10">
        <v>1</v>
      </c>
      <c r="C288" s="8">
        <v>8.35</v>
      </c>
      <c r="D288" s="3" t="s">
        <v>51</v>
      </c>
      <c r="E288" s="1">
        <f t="shared" si="12"/>
        <v>7</v>
      </c>
      <c r="F288" s="1">
        <f t="shared" si="13"/>
        <v>75.899999999999991</v>
      </c>
    </row>
    <row r="289" spans="1:6">
      <c r="A289" s="13" t="s">
        <v>122</v>
      </c>
      <c r="B289" s="10">
        <v>1</v>
      </c>
      <c r="C289" s="8">
        <v>8.35</v>
      </c>
      <c r="D289" s="3" t="s">
        <v>51</v>
      </c>
      <c r="E289" s="1">
        <f t="shared" si="12"/>
        <v>6</v>
      </c>
      <c r="F289" s="1">
        <f t="shared" si="13"/>
        <v>67.55</v>
      </c>
    </row>
    <row r="290" spans="1:6">
      <c r="A290" s="13" t="s">
        <v>122</v>
      </c>
      <c r="B290" s="10">
        <v>4</v>
      </c>
      <c r="C290" s="8">
        <v>33.4</v>
      </c>
      <c r="D290" s="3" t="s">
        <v>51</v>
      </c>
      <c r="E290" s="1">
        <f t="shared" si="12"/>
        <v>5</v>
      </c>
      <c r="F290" s="1">
        <f t="shared" si="13"/>
        <v>59.2</v>
      </c>
    </row>
    <row r="291" spans="1:6">
      <c r="A291" s="13" t="s">
        <v>122</v>
      </c>
      <c r="B291" s="10">
        <v>1</v>
      </c>
      <c r="C291" s="8">
        <v>25.8</v>
      </c>
      <c r="D291" s="3" t="s">
        <v>51</v>
      </c>
      <c r="E291" s="1">
        <f t="shared" si="12"/>
        <v>1</v>
      </c>
      <c r="F291" s="1">
        <f t="shared" si="13"/>
        <v>25.8</v>
      </c>
    </row>
    <row r="292" spans="1:6">
      <c r="A292" s="13" t="s">
        <v>122</v>
      </c>
      <c r="B292" s="10">
        <v>1</v>
      </c>
      <c r="C292" s="8">
        <v>25.2</v>
      </c>
      <c r="D292" s="3" t="s">
        <v>103</v>
      </c>
      <c r="E292" s="1">
        <f t="shared" si="12"/>
        <v>2</v>
      </c>
      <c r="F292" s="1">
        <f t="shared" si="13"/>
        <v>50.4</v>
      </c>
    </row>
    <row r="293" spans="1:6">
      <c r="A293" s="13" t="s">
        <v>122</v>
      </c>
      <c r="B293" s="10">
        <v>1</v>
      </c>
      <c r="C293" s="8">
        <v>25.2</v>
      </c>
      <c r="D293" s="3" t="s">
        <v>103</v>
      </c>
      <c r="E293" s="1">
        <f t="shared" si="12"/>
        <v>1</v>
      </c>
      <c r="F293" s="1">
        <f t="shared" si="13"/>
        <v>25.2</v>
      </c>
    </row>
    <row r="294" spans="1:6">
      <c r="A294" s="13" t="s">
        <v>122</v>
      </c>
      <c r="B294" s="10">
        <v>1</v>
      </c>
      <c r="C294" s="8">
        <v>37.9</v>
      </c>
      <c r="D294" s="3" t="s">
        <v>100</v>
      </c>
      <c r="E294" s="1">
        <f t="shared" si="12"/>
        <v>4</v>
      </c>
      <c r="F294" s="1">
        <f t="shared" si="13"/>
        <v>75.8</v>
      </c>
    </row>
    <row r="295" spans="1:6">
      <c r="A295" s="13" t="s">
        <v>122</v>
      </c>
      <c r="B295" s="10">
        <v>3</v>
      </c>
      <c r="C295" s="8">
        <v>37.9</v>
      </c>
      <c r="D295" s="3" t="s">
        <v>100</v>
      </c>
      <c r="E295" s="1">
        <f t="shared" si="12"/>
        <v>3</v>
      </c>
      <c r="F295" s="1">
        <f t="shared" si="13"/>
        <v>37.9</v>
      </c>
    </row>
    <row r="296" spans="1:6">
      <c r="A296" s="13" t="s">
        <v>122</v>
      </c>
      <c r="B296" s="10">
        <v>1</v>
      </c>
      <c r="C296" s="8">
        <v>1.9950000000000001</v>
      </c>
      <c r="D296" s="3" t="s">
        <v>39</v>
      </c>
      <c r="E296" s="1">
        <f t="shared" si="12"/>
        <v>2</v>
      </c>
      <c r="F296" s="1">
        <f t="shared" si="13"/>
        <v>3.99</v>
      </c>
    </row>
    <row r="297" spans="1:6">
      <c r="A297" s="13" t="s">
        <v>122</v>
      </c>
      <c r="B297" s="10">
        <v>1</v>
      </c>
      <c r="C297" s="8">
        <v>1.9950000000000001</v>
      </c>
      <c r="D297" s="3" t="s">
        <v>39</v>
      </c>
      <c r="E297" s="1">
        <f t="shared" si="12"/>
        <v>1</v>
      </c>
      <c r="F297" s="1">
        <f t="shared" si="13"/>
        <v>1.9950000000000001</v>
      </c>
    </row>
    <row r="298" spans="1:6">
      <c r="A298" s="13" t="s">
        <v>122</v>
      </c>
      <c r="B298" s="10">
        <v>1</v>
      </c>
      <c r="C298" s="8">
        <v>12.5</v>
      </c>
      <c r="D298" s="3" t="s">
        <v>73</v>
      </c>
      <c r="E298" s="1">
        <f t="shared" si="12"/>
        <v>14</v>
      </c>
      <c r="F298" s="1">
        <f t="shared" si="13"/>
        <v>200</v>
      </c>
    </row>
    <row r="299" spans="1:6">
      <c r="A299" s="13" t="s">
        <v>122</v>
      </c>
      <c r="B299" s="10">
        <v>1</v>
      </c>
      <c r="C299" s="8">
        <v>12.5</v>
      </c>
      <c r="D299" s="3" t="s">
        <v>73</v>
      </c>
      <c r="E299" s="1">
        <f t="shared" si="12"/>
        <v>13</v>
      </c>
      <c r="F299" s="1">
        <f t="shared" si="13"/>
        <v>187.5</v>
      </c>
    </row>
    <row r="300" spans="1:6">
      <c r="A300" s="13" t="s">
        <v>122</v>
      </c>
      <c r="B300" s="10">
        <v>1</v>
      </c>
      <c r="C300" s="8">
        <v>15</v>
      </c>
      <c r="D300" s="3" t="s">
        <v>73</v>
      </c>
      <c r="E300" s="1">
        <f t="shared" si="12"/>
        <v>12</v>
      </c>
      <c r="F300" s="1">
        <f t="shared" si="13"/>
        <v>175</v>
      </c>
    </row>
    <row r="301" spans="1:6">
      <c r="A301" s="13" t="s">
        <v>122</v>
      </c>
      <c r="B301" s="10">
        <v>1</v>
      </c>
      <c r="C301" s="8">
        <v>15</v>
      </c>
      <c r="D301" s="3" t="s">
        <v>73</v>
      </c>
      <c r="E301" s="1">
        <f t="shared" si="12"/>
        <v>11</v>
      </c>
      <c r="F301" s="1">
        <f t="shared" si="13"/>
        <v>160</v>
      </c>
    </row>
    <row r="302" spans="1:6">
      <c r="A302" s="13" t="s">
        <v>122</v>
      </c>
      <c r="B302" s="10">
        <v>1</v>
      </c>
      <c r="C302" s="8">
        <v>15</v>
      </c>
      <c r="D302" s="3" t="s">
        <v>73</v>
      </c>
      <c r="E302" s="1">
        <f t="shared" si="12"/>
        <v>10</v>
      </c>
      <c r="F302" s="1">
        <f t="shared" si="13"/>
        <v>145</v>
      </c>
    </row>
    <row r="303" spans="1:6">
      <c r="A303" s="13" t="s">
        <v>122</v>
      </c>
      <c r="B303" s="10">
        <v>1</v>
      </c>
      <c r="C303" s="8">
        <v>15</v>
      </c>
      <c r="D303" s="3" t="s">
        <v>73</v>
      </c>
      <c r="E303" s="1">
        <f t="shared" si="12"/>
        <v>9</v>
      </c>
      <c r="F303" s="1">
        <f t="shared" si="13"/>
        <v>130</v>
      </c>
    </row>
    <row r="304" spans="1:6">
      <c r="A304" s="13" t="s">
        <v>122</v>
      </c>
      <c r="B304" s="10">
        <v>1</v>
      </c>
      <c r="C304" s="8">
        <v>15</v>
      </c>
      <c r="D304" s="3" t="s">
        <v>73</v>
      </c>
      <c r="E304" s="1">
        <f t="shared" si="12"/>
        <v>8</v>
      </c>
      <c r="F304" s="1">
        <f t="shared" si="13"/>
        <v>115</v>
      </c>
    </row>
    <row r="305" spans="1:6">
      <c r="A305" s="13" t="s">
        <v>122</v>
      </c>
      <c r="B305" s="10">
        <v>2</v>
      </c>
      <c r="C305" s="8">
        <v>25</v>
      </c>
      <c r="D305" s="3" t="s">
        <v>73</v>
      </c>
      <c r="E305" s="1">
        <f t="shared" si="12"/>
        <v>7</v>
      </c>
      <c r="F305" s="1">
        <f t="shared" si="13"/>
        <v>100</v>
      </c>
    </row>
    <row r="306" spans="1:6">
      <c r="A306" s="13" t="s">
        <v>122</v>
      </c>
      <c r="B306" s="10">
        <v>5</v>
      </c>
      <c r="C306" s="8">
        <v>75</v>
      </c>
      <c r="D306" s="3" t="s">
        <v>73</v>
      </c>
      <c r="E306" s="1">
        <f t="shared" si="12"/>
        <v>5</v>
      </c>
      <c r="F306" s="1">
        <f t="shared" si="13"/>
        <v>75</v>
      </c>
    </row>
    <row r="307" spans="1:6">
      <c r="A307" s="13" t="s">
        <v>20</v>
      </c>
      <c r="B307" s="9">
        <v>276</v>
      </c>
      <c r="C307" s="4">
        <v>297.62599999999998</v>
      </c>
      <c r="D307" s="3" t="s">
        <v>19</v>
      </c>
      <c r="E307" s="1">
        <f t="shared" si="12"/>
        <v>276</v>
      </c>
      <c r="F307" s="1">
        <f t="shared" si="13"/>
        <v>297.62599999999998</v>
      </c>
    </row>
    <row r="308" spans="1:6">
      <c r="A308" s="13" t="s">
        <v>16</v>
      </c>
      <c r="B308" s="9">
        <v>22</v>
      </c>
      <c r="C308" s="4">
        <v>228.8</v>
      </c>
      <c r="D308" s="3" t="s">
        <v>11</v>
      </c>
      <c r="E308" s="1">
        <f t="shared" si="12"/>
        <v>22</v>
      </c>
      <c r="F308" s="1">
        <f t="shared" si="13"/>
        <v>228.8</v>
      </c>
    </row>
    <row r="309" spans="1:6" ht="26.25">
      <c r="A309" s="13" t="s">
        <v>122</v>
      </c>
      <c r="B309" s="10">
        <v>1</v>
      </c>
      <c r="C309" s="8">
        <v>15</v>
      </c>
      <c r="D309" s="3" t="s">
        <v>40</v>
      </c>
      <c r="E309" s="1">
        <f t="shared" si="12"/>
        <v>8</v>
      </c>
      <c r="F309" s="1">
        <f t="shared" si="13"/>
        <v>120</v>
      </c>
    </row>
    <row r="310" spans="1:6" ht="26.25">
      <c r="A310" s="13" t="s">
        <v>122</v>
      </c>
      <c r="B310" s="10">
        <v>1</v>
      </c>
      <c r="C310" s="8">
        <v>15</v>
      </c>
      <c r="D310" s="3" t="s">
        <v>40</v>
      </c>
      <c r="E310" s="1">
        <f t="shared" si="12"/>
        <v>7</v>
      </c>
      <c r="F310" s="1">
        <f t="shared" si="13"/>
        <v>105</v>
      </c>
    </row>
    <row r="311" spans="1:6" ht="26.25">
      <c r="A311" s="13" t="s">
        <v>122</v>
      </c>
      <c r="B311" s="10">
        <v>1</v>
      </c>
      <c r="C311" s="8">
        <v>15</v>
      </c>
      <c r="D311" s="3" t="s">
        <v>40</v>
      </c>
      <c r="E311" s="1">
        <f t="shared" si="12"/>
        <v>6</v>
      </c>
      <c r="F311" s="1">
        <f t="shared" si="13"/>
        <v>90</v>
      </c>
    </row>
    <row r="312" spans="1:6" ht="26.25">
      <c r="A312" s="13" t="s">
        <v>122</v>
      </c>
      <c r="B312" s="10">
        <v>1</v>
      </c>
      <c r="C312" s="8">
        <v>15</v>
      </c>
      <c r="D312" s="3" t="s">
        <v>40</v>
      </c>
      <c r="E312" s="1">
        <f t="shared" si="12"/>
        <v>5</v>
      </c>
      <c r="F312" s="1">
        <f t="shared" si="13"/>
        <v>75</v>
      </c>
    </row>
    <row r="313" spans="1:6" ht="26.25">
      <c r="A313" s="13" t="s">
        <v>122</v>
      </c>
      <c r="B313" s="10">
        <v>4</v>
      </c>
      <c r="C313" s="8">
        <v>60</v>
      </c>
      <c r="D313" s="3" t="s">
        <v>40</v>
      </c>
      <c r="E313" s="1">
        <f t="shared" si="12"/>
        <v>4</v>
      </c>
      <c r="F313" s="1">
        <f t="shared" si="13"/>
        <v>60</v>
      </c>
    </row>
    <row r="314" spans="1:6">
      <c r="A314" s="13" t="s">
        <v>123</v>
      </c>
      <c r="B314" s="9">
        <v>500</v>
      </c>
      <c r="C314" s="4">
        <v>2511.0500000000002</v>
      </c>
      <c r="D314" s="3" t="s">
        <v>26</v>
      </c>
      <c r="E314" s="1">
        <f t="shared" si="12"/>
        <v>500</v>
      </c>
      <c r="F314" s="1">
        <f t="shared" si="13"/>
        <v>2511.0500000000002</v>
      </c>
    </row>
    <row r="315" spans="1:6">
      <c r="A315" s="13" t="s">
        <v>122</v>
      </c>
      <c r="B315" s="10">
        <v>1</v>
      </c>
      <c r="C315" s="8">
        <v>32.979999999999997</v>
      </c>
      <c r="D315" s="3" t="s">
        <v>101</v>
      </c>
      <c r="E315" s="1">
        <f t="shared" si="12"/>
        <v>8</v>
      </c>
      <c r="F315" s="1">
        <f t="shared" si="13"/>
        <v>131.91999999999999</v>
      </c>
    </row>
    <row r="316" spans="1:6">
      <c r="A316" s="13" t="s">
        <v>122</v>
      </c>
      <c r="B316" s="10">
        <v>1</v>
      </c>
      <c r="C316" s="8">
        <v>32.979999999999997</v>
      </c>
      <c r="D316" s="3" t="s">
        <v>101</v>
      </c>
      <c r="E316" s="1">
        <f t="shared" si="12"/>
        <v>7</v>
      </c>
      <c r="F316" s="1">
        <f t="shared" si="13"/>
        <v>98.94</v>
      </c>
    </row>
    <row r="317" spans="1:6">
      <c r="A317" s="13" t="s">
        <v>122</v>
      </c>
      <c r="B317" s="10">
        <v>6</v>
      </c>
      <c r="C317" s="8">
        <v>65.959999999999994</v>
      </c>
      <c r="D317" s="3" t="s">
        <v>101</v>
      </c>
      <c r="E317" s="1">
        <f t="shared" si="12"/>
        <v>6</v>
      </c>
      <c r="F317" s="1">
        <f t="shared" si="13"/>
        <v>65.959999999999994</v>
      </c>
    </row>
    <row r="318" spans="1:6">
      <c r="A318" s="13" t="s">
        <v>122</v>
      </c>
      <c r="B318" s="10">
        <v>1</v>
      </c>
      <c r="C318" s="8">
        <v>16.05</v>
      </c>
      <c r="D318" s="3" t="s">
        <v>111</v>
      </c>
      <c r="E318" s="1">
        <f t="shared" si="12"/>
        <v>4</v>
      </c>
      <c r="F318" s="1">
        <f t="shared" si="13"/>
        <v>64.2</v>
      </c>
    </row>
    <row r="319" spans="1:6">
      <c r="A319" s="13" t="s">
        <v>122</v>
      </c>
      <c r="B319" s="10">
        <v>1</v>
      </c>
      <c r="C319" s="8">
        <v>16.05</v>
      </c>
      <c r="D319" s="3" t="s">
        <v>111</v>
      </c>
      <c r="E319" s="1">
        <f t="shared" si="12"/>
        <v>3</v>
      </c>
      <c r="F319" s="1">
        <f t="shared" si="13"/>
        <v>48.150000000000006</v>
      </c>
    </row>
    <row r="320" spans="1:6">
      <c r="A320" s="13" t="s">
        <v>122</v>
      </c>
      <c r="B320" s="10">
        <v>2</v>
      </c>
      <c r="C320" s="8">
        <v>32.1</v>
      </c>
      <c r="D320" s="3" t="s">
        <v>111</v>
      </c>
      <c r="E320" s="1">
        <f t="shared" si="12"/>
        <v>2</v>
      </c>
      <c r="F320" s="1">
        <f t="shared" si="13"/>
        <v>32.1</v>
      </c>
    </row>
    <row r="321" spans="1:6">
      <c r="A321" s="13" t="s">
        <v>16</v>
      </c>
      <c r="B321" s="9">
        <v>74</v>
      </c>
      <c r="C321" s="4">
        <v>300.29000000000002</v>
      </c>
      <c r="D321" s="3" t="s">
        <v>14</v>
      </c>
      <c r="E321" s="1">
        <f t="shared" si="12"/>
        <v>74</v>
      </c>
      <c r="F321" s="1">
        <f t="shared" si="13"/>
        <v>300.29000000000002</v>
      </c>
    </row>
    <row r="322" spans="1:6">
      <c r="A322" s="13" t="s">
        <v>122</v>
      </c>
      <c r="B322" s="10">
        <v>1</v>
      </c>
      <c r="C322" s="8">
        <v>9</v>
      </c>
      <c r="D322" s="3" t="s">
        <v>65</v>
      </c>
      <c r="E322" s="1">
        <f t="shared" si="12"/>
        <v>2</v>
      </c>
      <c r="F322" s="1">
        <f t="shared" si="13"/>
        <v>18</v>
      </c>
    </row>
    <row r="323" spans="1:6">
      <c r="A323" s="13" t="s">
        <v>122</v>
      </c>
      <c r="B323" s="10">
        <v>1</v>
      </c>
      <c r="C323" s="8">
        <v>9</v>
      </c>
      <c r="D323" s="3" t="s">
        <v>65</v>
      </c>
      <c r="E323" s="1">
        <f t="shared" si="12"/>
        <v>1</v>
      </c>
      <c r="F323" s="1">
        <f t="shared" si="13"/>
        <v>9</v>
      </c>
    </row>
    <row r="324" spans="1:6">
      <c r="A324" s="13" t="s">
        <v>122</v>
      </c>
      <c r="B324" s="10">
        <v>1</v>
      </c>
      <c r="C324" s="8">
        <v>15</v>
      </c>
      <c r="D324" s="3" t="s">
        <v>74</v>
      </c>
      <c r="E324" s="1">
        <f t="shared" si="12"/>
        <v>10</v>
      </c>
      <c r="F324" s="1">
        <f t="shared" si="13"/>
        <v>150</v>
      </c>
    </row>
    <row r="325" spans="1:6">
      <c r="A325" s="13" t="s">
        <v>122</v>
      </c>
      <c r="B325" s="10">
        <v>1</v>
      </c>
      <c r="C325" s="8">
        <v>15</v>
      </c>
      <c r="D325" s="3" t="s">
        <v>74</v>
      </c>
      <c r="E325" s="1">
        <f t="shared" si="12"/>
        <v>9</v>
      </c>
      <c r="F325" s="1">
        <f t="shared" si="13"/>
        <v>135</v>
      </c>
    </row>
    <row r="326" spans="1:6">
      <c r="A326" s="13" t="s">
        <v>122</v>
      </c>
      <c r="B326" s="10">
        <v>1</v>
      </c>
      <c r="C326" s="8">
        <v>15</v>
      </c>
      <c r="D326" s="3" t="s">
        <v>74</v>
      </c>
      <c r="E326" s="1">
        <f t="shared" si="12"/>
        <v>8</v>
      </c>
      <c r="F326" s="1">
        <f t="shared" si="13"/>
        <v>120</v>
      </c>
    </row>
    <row r="327" spans="1:6">
      <c r="A327" s="13" t="s">
        <v>122</v>
      </c>
      <c r="B327" s="10">
        <v>1</v>
      </c>
      <c r="C327" s="8">
        <v>15</v>
      </c>
      <c r="D327" s="3" t="s">
        <v>74</v>
      </c>
      <c r="E327" s="1">
        <f t="shared" si="12"/>
        <v>7</v>
      </c>
      <c r="F327" s="1">
        <f t="shared" si="13"/>
        <v>105</v>
      </c>
    </row>
    <row r="328" spans="1:6">
      <c r="A328" s="13" t="s">
        <v>122</v>
      </c>
      <c r="B328" s="10">
        <v>1</v>
      </c>
      <c r="C328" s="8">
        <v>15</v>
      </c>
      <c r="D328" s="3" t="s">
        <v>74</v>
      </c>
      <c r="E328" s="1">
        <f t="shared" si="12"/>
        <v>6</v>
      </c>
      <c r="F328" s="1">
        <f t="shared" si="13"/>
        <v>90</v>
      </c>
    </row>
    <row r="329" spans="1:6">
      <c r="A329" s="13" t="s">
        <v>122</v>
      </c>
      <c r="B329" s="10">
        <v>5</v>
      </c>
      <c r="C329" s="8">
        <v>75</v>
      </c>
      <c r="D329" s="3" t="s">
        <v>74</v>
      </c>
      <c r="E329" s="1">
        <f t="shared" si="12"/>
        <v>5</v>
      </c>
      <c r="F329" s="1">
        <f t="shared" si="13"/>
        <v>75</v>
      </c>
    </row>
    <row r="330" spans="1:6">
      <c r="A330" s="13" t="s">
        <v>122</v>
      </c>
      <c r="B330" s="10">
        <v>1</v>
      </c>
      <c r="C330" s="8">
        <v>15</v>
      </c>
      <c r="D330" s="3" t="s">
        <v>54</v>
      </c>
      <c r="E330" s="1">
        <f t="shared" si="12"/>
        <v>14</v>
      </c>
      <c r="F330" s="1">
        <f t="shared" si="13"/>
        <v>207</v>
      </c>
    </row>
    <row r="331" spans="1:6">
      <c r="A331" s="13" t="s">
        <v>122</v>
      </c>
      <c r="B331" s="10">
        <v>1</v>
      </c>
      <c r="C331" s="8">
        <v>15</v>
      </c>
      <c r="D331" s="3" t="s">
        <v>54</v>
      </c>
      <c r="E331" s="1">
        <f t="shared" si="12"/>
        <v>13</v>
      </c>
      <c r="F331" s="1">
        <f t="shared" si="13"/>
        <v>192</v>
      </c>
    </row>
    <row r="332" spans="1:6">
      <c r="A332" s="13" t="s">
        <v>122</v>
      </c>
      <c r="B332" s="10">
        <v>1</v>
      </c>
      <c r="C332" s="8">
        <v>15</v>
      </c>
      <c r="D332" s="3" t="s">
        <v>54</v>
      </c>
      <c r="E332" s="1">
        <f t="shared" si="12"/>
        <v>12</v>
      </c>
      <c r="F332" s="1">
        <f t="shared" si="13"/>
        <v>177</v>
      </c>
    </row>
    <row r="333" spans="1:6">
      <c r="A333" s="13" t="s">
        <v>122</v>
      </c>
      <c r="B333" s="10">
        <v>1</v>
      </c>
      <c r="C333" s="8">
        <v>15</v>
      </c>
      <c r="D333" s="3" t="s">
        <v>54</v>
      </c>
      <c r="E333" s="1">
        <f t="shared" si="12"/>
        <v>11</v>
      </c>
      <c r="F333" s="1">
        <f t="shared" si="13"/>
        <v>162</v>
      </c>
    </row>
    <row r="334" spans="1:6">
      <c r="A334" s="13" t="s">
        <v>122</v>
      </c>
      <c r="B334" s="10">
        <v>1</v>
      </c>
      <c r="C334" s="8">
        <v>15</v>
      </c>
      <c r="D334" s="3" t="s">
        <v>54</v>
      </c>
      <c r="E334" s="1">
        <f t="shared" si="12"/>
        <v>10</v>
      </c>
      <c r="F334" s="1">
        <f t="shared" si="13"/>
        <v>147</v>
      </c>
    </row>
    <row r="335" spans="1:6">
      <c r="A335" s="13" t="s">
        <v>122</v>
      </c>
      <c r="B335" s="10">
        <v>1</v>
      </c>
      <c r="C335" s="8">
        <v>15</v>
      </c>
      <c r="D335" s="3" t="s">
        <v>54</v>
      </c>
      <c r="E335" s="1">
        <f t="shared" si="12"/>
        <v>9</v>
      </c>
      <c r="F335" s="1">
        <f t="shared" si="13"/>
        <v>132</v>
      </c>
    </row>
    <row r="336" spans="1:6">
      <c r="A336" s="13" t="s">
        <v>122</v>
      </c>
      <c r="B336" s="10">
        <v>1</v>
      </c>
      <c r="C336" s="8">
        <v>13.5</v>
      </c>
      <c r="D336" s="3" t="s">
        <v>54</v>
      </c>
      <c r="E336" s="1">
        <f t="shared" si="12"/>
        <v>8</v>
      </c>
      <c r="F336" s="1">
        <f t="shared" si="13"/>
        <v>117</v>
      </c>
    </row>
    <row r="337" spans="1:6">
      <c r="A337" s="13" t="s">
        <v>122</v>
      </c>
      <c r="B337" s="10">
        <v>6</v>
      </c>
      <c r="C337" s="8">
        <v>90</v>
      </c>
      <c r="D337" s="3" t="s">
        <v>54</v>
      </c>
      <c r="E337" s="1">
        <f t="shared" si="12"/>
        <v>7</v>
      </c>
      <c r="F337" s="1">
        <f t="shared" si="13"/>
        <v>103.5</v>
      </c>
    </row>
    <row r="338" spans="1:6">
      <c r="A338" s="13" t="s">
        <v>122</v>
      </c>
      <c r="B338" s="10">
        <v>1</v>
      </c>
      <c r="C338" s="8">
        <v>13.5</v>
      </c>
      <c r="D338" s="3" t="s">
        <v>54</v>
      </c>
      <c r="E338" s="1">
        <f t="shared" si="12"/>
        <v>1</v>
      </c>
      <c r="F338" s="1">
        <f t="shared" si="13"/>
        <v>13.5</v>
      </c>
    </row>
    <row r="339" spans="1:6">
      <c r="A339" s="13" t="s">
        <v>122</v>
      </c>
      <c r="B339" s="10">
        <v>1</v>
      </c>
      <c r="C339" s="8">
        <v>14.23</v>
      </c>
      <c r="D339" s="3" t="s">
        <v>80</v>
      </c>
      <c r="E339" s="1">
        <f t="shared" si="12"/>
        <v>14</v>
      </c>
      <c r="F339" s="1">
        <f t="shared" si="13"/>
        <v>197.42000000000002</v>
      </c>
    </row>
    <row r="340" spans="1:6">
      <c r="A340" s="13" t="s">
        <v>122</v>
      </c>
      <c r="B340" s="10">
        <v>1</v>
      </c>
      <c r="C340" s="8">
        <v>14.23</v>
      </c>
      <c r="D340" s="3" t="s">
        <v>80</v>
      </c>
      <c r="E340" s="1">
        <f t="shared" si="12"/>
        <v>13</v>
      </c>
      <c r="F340" s="1">
        <f t="shared" si="13"/>
        <v>183.19</v>
      </c>
    </row>
    <row r="341" spans="1:6">
      <c r="A341" s="13" t="s">
        <v>122</v>
      </c>
      <c r="B341" s="10">
        <v>1</v>
      </c>
      <c r="C341" s="8">
        <v>14.23</v>
      </c>
      <c r="D341" s="3" t="s">
        <v>80</v>
      </c>
      <c r="E341" s="1">
        <f t="shared" si="12"/>
        <v>12</v>
      </c>
      <c r="F341" s="1">
        <f t="shared" si="13"/>
        <v>168.96</v>
      </c>
    </row>
    <row r="342" spans="1:6">
      <c r="A342" s="13" t="s">
        <v>122</v>
      </c>
      <c r="B342" s="10">
        <v>1</v>
      </c>
      <c r="C342" s="8">
        <v>14.23</v>
      </c>
      <c r="D342" s="3" t="s">
        <v>80</v>
      </c>
      <c r="E342" s="1">
        <f t="shared" si="12"/>
        <v>11</v>
      </c>
      <c r="F342" s="1">
        <f t="shared" si="13"/>
        <v>154.73000000000002</v>
      </c>
    </row>
    <row r="343" spans="1:6">
      <c r="A343" s="13" t="s">
        <v>122</v>
      </c>
      <c r="B343" s="10">
        <v>1</v>
      </c>
      <c r="C343" s="8">
        <v>14.23</v>
      </c>
      <c r="D343" s="3" t="s">
        <v>80</v>
      </c>
      <c r="E343" s="1">
        <f t="shared" si="12"/>
        <v>10</v>
      </c>
      <c r="F343" s="1">
        <f t="shared" si="13"/>
        <v>140.5</v>
      </c>
    </row>
    <row r="344" spans="1:6">
      <c r="A344" s="13" t="s">
        <v>122</v>
      </c>
      <c r="B344" s="10">
        <v>1</v>
      </c>
      <c r="C344" s="8">
        <v>13.78</v>
      </c>
      <c r="D344" s="3" t="s">
        <v>80</v>
      </c>
      <c r="E344" s="1">
        <f t="shared" si="12"/>
        <v>9</v>
      </c>
      <c r="F344" s="1">
        <f t="shared" si="13"/>
        <v>126.27000000000001</v>
      </c>
    </row>
    <row r="345" spans="1:6">
      <c r="A345" s="13" t="s">
        <v>122</v>
      </c>
      <c r="B345" s="10">
        <v>1</v>
      </c>
      <c r="C345" s="8">
        <v>13.78</v>
      </c>
      <c r="D345" s="3" t="s">
        <v>80</v>
      </c>
      <c r="E345" s="1">
        <f t="shared" si="12"/>
        <v>8</v>
      </c>
      <c r="F345" s="1">
        <f t="shared" si="13"/>
        <v>112.49000000000001</v>
      </c>
    </row>
    <row r="346" spans="1:6">
      <c r="A346" s="13" t="s">
        <v>122</v>
      </c>
      <c r="B346" s="10">
        <v>5</v>
      </c>
      <c r="C346" s="8">
        <v>71.150000000000006</v>
      </c>
      <c r="D346" s="3" t="s">
        <v>80</v>
      </c>
      <c r="E346" s="1">
        <f t="shared" si="12"/>
        <v>7</v>
      </c>
      <c r="F346" s="1">
        <f t="shared" si="13"/>
        <v>98.710000000000008</v>
      </c>
    </row>
    <row r="347" spans="1:6">
      <c r="A347" s="13" t="s">
        <v>122</v>
      </c>
      <c r="B347" s="10">
        <v>2</v>
      </c>
      <c r="C347" s="8">
        <v>27.56</v>
      </c>
      <c r="D347" s="3" t="s">
        <v>80</v>
      </c>
      <c r="E347" s="1">
        <f t="shared" si="12"/>
        <v>2</v>
      </c>
      <c r="F347" s="1">
        <f t="shared" si="13"/>
        <v>27.56</v>
      </c>
    </row>
    <row r="348" spans="1:6" ht="26.25">
      <c r="A348" s="13" t="s">
        <v>122</v>
      </c>
      <c r="B348" s="10">
        <v>1</v>
      </c>
      <c r="C348" s="8">
        <v>15</v>
      </c>
      <c r="D348" s="3" t="s">
        <v>55</v>
      </c>
      <c r="E348" s="1">
        <f t="shared" si="12"/>
        <v>6</v>
      </c>
      <c r="F348" s="1">
        <f t="shared" si="13"/>
        <v>90</v>
      </c>
    </row>
    <row r="349" spans="1:6" ht="26.25">
      <c r="A349" s="13" t="s">
        <v>122</v>
      </c>
      <c r="B349" s="10">
        <v>1</v>
      </c>
      <c r="C349" s="8">
        <v>15</v>
      </c>
      <c r="D349" s="3" t="s">
        <v>55</v>
      </c>
      <c r="E349" s="1">
        <f t="shared" ref="E349:E379" si="14">SUMIF(D349:D726,D349, B349:B726)</f>
        <v>5</v>
      </c>
      <c r="F349" s="1">
        <f t="shared" ref="F349:F379" si="15">SUMIF(D349:D726,D349, C349:C726)</f>
        <v>75</v>
      </c>
    </row>
    <row r="350" spans="1:6" ht="26.25">
      <c r="A350" s="13" t="s">
        <v>122</v>
      </c>
      <c r="B350" s="10">
        <v>1</v>
      </c>
      <c r="C350" s="8">
        <v>15</v>
      </c>
      <c r="D350" s="3" t="s">
        <v>55</v>
      </c>
      <c r="E350" s="1">
        <f t="shared" si="14"/>
        <v>4</v>
      </c>
      <c r="F350" s="1">
        <f t="shared" si="15"/>
        <v>60</v>
      </c>
    </row>
    <row r="351" spans="1:6" ht="26.25">
      <c r="A351" s="13" t="s">
        <v>122</v>
      </c>
      <c r="B351" s="10">
        <v>3</v>
      </c>
      <c r="C351" s="8">
        <v>45</v>
      </c>
      <c r="D351" s="3" t="s">
        <v>55</v>
      </c>
      <c r="E351" s="1">
        <f t="shared" si="14"/>
        <v>3</v>
      </c>
      <c r="F351" s="1">
        <f t="shared" si="15"/>
        <v>45</v>
      </c>
    </row>
    <row r="352" spans="1:6" ht="26.25">
      <c r="A352" s="13" t="s">
        <v>122</v>
      </c>
      <c r="B352" s="10">
        <v>1</v>
      </c>
      <c r="C352" s="8">
        <v>9.25</v>
      </c>
      <c r="D352" s="3" t="s">
        <v>61</v>
      </c>
      <c r="E352" s="1">
        <f t="shared" si="14"/>
        <v>6</v>
      </c>
      <c r="F352" s="1">
        <f t="shared" si="15"/>
        <v>55.5</v>
      </c>
    </row>
    <row r="353" spans="1:6" ht="26.25">
      <c r="A353" s="13" t="s">
        <v>122</v>
      </c>
      <c r="B353" s="10">
        <v>1</v>
      </c>
      <c r="C353" s="8">
        <v>9.25</v>
      </c>
      <c r="D353" s="3" t="s">
        <v>61</v>
      </c>
      <c r="E353" s="1">
        <f t="shared" si="14"/>
        <v>5</v>
      </c>
      <c r="F353" s="1">
        <f t="shared" si="15"/>
        <v>46.25</v>
      </c>
    </row>
    <row r="354" spans="1:6" ht="26.25">
      <c r="A354" s="13" t="s">
        <v>122</v>
      </c>
      <c r="B354" s="10">
        <v>1</v>
      </c>
      <c r="C354" s="8">
        <v>9.25</v>
      </c>
      <c r="D354" s="3" t="s">
        <v>61</v>
      </c>
      <c r="E354" s="1">
        <f t="shared" si="14"/>
        <v>4</v>
      </c>
      <c r="F354" s="1">
        <f t="shared" si="15"/>
        <v>37</v>
      </c>
    </row>
    <row r="355" spans="1:6" ht="26.25">
      <c r="A355" s="13" t="s">
        <v>122</v>
      </c>
      <c r="B355" s="10">
        <v>3</v>
      </c>
      <c r="C355" s="8">
        <v>27.75</v>
      </c>
      <c r="D355" s="3" t="s">
        <v>61</v>
      </c>
      <c r="E355" s="1">
        <f t="shared" si="14"/>
        <v>3</v>
      </c>
      <c r="F355" s="1">
        <f t="shared" si="15"/>
        <v>27.75</v>
      </c>
    </row>
    <row r="356" spans="1:6">
      <c r="A356" s="13" t="s">
        <v>24</v>
      </c>
      <c r="B356" s="9">
        <v>5012</v>
      </c>
      <c r="C356" s="4">
        <v>8276.5450000000001</v>
      </c>
      <c r="D356" s="3" t="s">
        <v>23</v>
      </c>
      <c r="E356" s="1">
        <f t="shared" si="14"/>
        <v>5012</v>
      </c>
      <c r="F356" s="1">
        <f t="shared" si="15"/>
        <v>8276.5450000000001</v>
      </c>
    </row>
    <row r="357" spans="1:6" ht="26.25">
      <c r="A357" s="13" t="s">
        <v>122</v>
      </c>
      <c r="B357" s="10">
        <v>2</v>
      </c>
      <c r="C357" s="8">
        <v>56.46</v>
      </c>
      <c r="D357" s="3" t="s">
        <v>116</v>
      </c>
      <c r="E357" s="1">
        <f t="shared" si="14"/>
        <v>2</v>
      </c>
      <c r="F357" s="1">
        <f t="shared" si="15"/>
        <v>56.46</v>
      </c>
    </row>
    <row r="358" spans="1:6">
      <c r="A358" s="13" t="s">
        <v>16</v>
      </c>
      <c r="B358" s="9">
        <v>296</v>
      </c>
      <c r="C358" s="4">
        <v>1966.4929999999999</v>
      </c>
      <c r="D358" s="3" t="s">
        <v>13</v>
      </c>
      <c r="E358" s="1">
        <f t="shared" si="14"/>
        <v>600</v>
      </c>
      <c r="F358" s="1">
        <f t="shared" si="15"/>
        <v>3942.0649999999996</v>
      </c>
    </row>
    <row r="359" spans="1:6">
      <c r="A359" s="13" t="s">
        <v>16</v>
      </c>
      <c r="B359" s="9">
        <v>304</v>
      </c>
      <c r="C359" s="4">
        <v>1975.5719999999999</v>
      </c>
      <c r="D359" s="3" t="s">
        <v>13</v>
      </c>
      <c r="E359" s="1">
        <f t="shared" si="14"/>
        <v>304</v>
      </c>
      <c r="F359" s="1">
        <f t="shared" si="15"/>
        <v>1975.5719999999999</v>
      </c>
    </row>
    <row r="360" spans="1:6" ht="26.25">
      <c r="A360" s="13" t="s">
        <v>122</v>
      </c>
      <c r="B360" s="10">
        <v>1</v>
      </c>
      <c r="C360" s="8">
        <v>13.78</v>
      </c>
      <c r="D360" s="3" t="s">
        <v>78</v>
      </c>
      <c r="E360" s="1">
        <f t="shared" si="14"/>
        <v>14</v>
      </c>
      <c r="F360" s="1">
        <f t="shared" si="15"/>
        <v>192.92</v>
      </c>
    </row>
    <row r="361" spans="1:6" ht="26.25">
      <c r="A361" s="13" t="s">
        <v>122</v>
      </c>
      <c r="B361" s="10">
        <v>1</v>
      </c>
      <c r="C361" s="8">
        <v>13.78</v>
      </c>
      <c r="D361" s="3" t="s">
        <v>78</v>
      </c>
      <c r="E361" s="1">
        <f t="shared" si="14"/>
        <v>13</v>
      </c>
      <c r="F361" s="1">
        <f t="shared" si="15"/>
        <v>179.14</v>
      </c>
    </row>
    <row r="362" spans="1:6" ht="26.25">
      <c r="A362" s="13" t="s">
        <v>122</v>
      </c>
      <c r="B362" s="10">
        <v>1</v>
      </c>
      <c r="C362" s="8">
        <v>13.78</v>
      </c>
      <c r="D362" s="3" t="s">
        <v>78</v>
      </c>
      <c r="E362" s="1">
        <f t="shared" si="14"/>
        <v>12</v>
      </c>
      <c r="F362" s="1">
        <f t="shared" si="15"/>
        <v>165.35999999999999</v>
      </c>
    </row>
    <row r="363" spans="1:6" ht="26.25">
      <c r="A363" s="13" t="s">
        <v>122</v>
      </c>
      <c r="B363" s="10">
        <v>1</v>
      </c>
      <c r="C363" s="8">
        <v>13.78</v>
      </c>
      <c r="D363" s="3" t="s">
        <v>78</v>
      </c>
      <c r="E363" s="1">
        <f t="shared" si="14"/>
        <v>11</v>
      </c>
      <c r="F363" s="1">
        <f t="shared" si="15"/>
        <v>151.57999999999998</v>
      </c>
    </row>
    <row r="364" spans="1:6" ht="26.25">
      <c r="A364" s="13" t="s">
        <v>122</v>
      </c>
      <c r="B364" s="10">
        <v>1</v>
      </c>
      <c r="C364" s="8">
        <v>13.78</v>
      </c>
      <c r="D364" s="3" t="s">
        <v>78</v>
      </c>
      <c r="E364" s="1">
        <f t="shared" si="14"/>
        <v>10</v>
      </c>
      <c r="F364" s="1">
        <f t="shared" si="15"/>
        <v>137.79999999999998</v>
      </c>
    </row>
    <row r="365" spans="1:6" ht="26.25">
      <c r="A365" s="13" t="s">
        <v>122</v>
      </c>
      <c r="B365" s="10">
        <v>1</v>
      </c>
      <c r="C365" s="8">
        <v>13.78</v>
      </c>
      <c r="D365" s="3" t="s">
        <v>78</v>
      </c>
      <c r="E365" s="1">
        <f t="shared" si="14"/>
        <v>9</v>
      </c>
      <c r="F365" s="1">
        <f t="shared" si="15"/>
        <v>124.02</v>
      </c>
    </row>
    <row r="366" spans="1:6" ht="26.25">
      <c r="A366" s="13" t="s">
        <v>122</v>
      </c>
      <c r="B366" s="10">
        <v>1</v>
      </c>
      <c r="C366" s="8">
        <v>13.78</v>
      </c>
      <c r="D366" s="3" t="s">
        <v>78</v>
      </c>
      <c r="E366" s="1">
        <f t="shared" si="14"/>
        <v>8</v>
      </c>
      <c r="F366" s="1">
        <f t="shared" si="15"/>
        <v>110.24</v>
      </c>
    </row>
    <row r="367" spans="1:6" ht="26.25">
      <c r="A367" s="13" t="s">
        <v>122</v>
      </c>
      <c r="B367" s="10">
        <v>7</v>
      </c>
      <c r="C367" s="8">
        <v>96.46</v>
      </c>
      <c r="D367" s="3" t="s">
        <v>78</v>
      </c>
      <c r="E367" s="1">
        <f t="shared" si="14"/>
        <v>7</v>
      </c>
      <c r="F367" s="1">
        <f t="shared" si="15"/>
        <v>96.46</v>
      </c>
    </row>
    <row r="368" spans="1:6">
      <c r="A368" s="13" t="s">
        <v>122</v>
      </c>
      <c r="B368" s="10">
        <v>1</v>
      </c>
      <c r="C368" s="8">
        <v>13.4</v>
      </c>
      <c r="D368" s="3" t="s">
        <v>67</v>
      </c>
      <c r="E368" s="1">
        <f t="shared" si="14"/>
        <v>10</v>
      </c>
      <c r="F368" s="1">
        <f t="shared" si="15"/>
        <v>134</v>
      </c>
    </row>
    <row r="369" spans="1:13">
      <c r="A369" s="13" t="s">
        <v>122</v>
      </c>
      <c r="B369" s="10">
        <v>1</v>
      </c>
      <c r="C369" s="8">
        <v>13.4</v>
      </c>
      <c r="D369" s="3" t="s">
        <v>67</v>
      </c>
      <c r="E369" s="1">
        <f t="shared" si="14"/>
        <v>9</v>
      </c>
      <c r="F369" s="1">
        <f t="shared" si="15"/>
        <v>120.6</v>
      </c>
    </row>
    <row r="370" spans="1:13">
      <c r="A370" s="13" t="s">
        <v>122</v>
      </c>
      <c r="B370" s="10">
        <v>1</v>
      </c>
      <c r="C370" s="8">
        <v>13.4</v>
      </c>
      <c r="D370" s="3" t="s">
        <v>67</v>
      </c>
      <c r="E370" s="1">
        <f t="shared" si="14"/>
        <v>8</v>
      </c>
      <c r="F370" s="1">
        <f t="shared" si="15"/>
        <v>107.2</v>
      </c>
    </row>
    <row r="371" spans="1:13">
      <c r="A371" s="13" t="s">
        <v>122</v>
      </c>
      <c r="B371" s="10">
        <v>1</v>
      </c>
      <c r="C371" s="8">
        <v>13.4</v>
      </c>
      <c r="D371" s="3" t="s">
        <v>67</v>
      </c>
      <c r="E371" s="1">
        <f t="shared" si="14"/>
        <v>7</v>
      </c>
      <c r="F371" s="1">
        <f t="shared" si="15"/>
        <v>93.8</v>
      </c>
    </row>
    <row r="372" spans="1:13">
      <c r="A372" s="13" t="s">
        <v>122</v>
      </c>
      <c r="B372" s="10">
        <v>1</v>
      </c>
      <c r="C372" s="8">
        <v>13.4</v>
      </c>
      <c r="D372" s="3" t="s">
        <v>67</v>
      </c>
      <c r="E372" s="1">
        <f t="shared" si="14"/>
        <v>6</v>
      </c>
      <c r="F372" s="1">
        <f t="shared" si="15"/>
        <v>80.400000000000006</v>
      </c>
    </row>
    <row r="373" spans="1:13">
      <c r="A373" s="13" t="s">
        <v>122</v>
      </c>
      <c r="B373" s="10">
        <v>5</v>
      </c>
      <c r="C373" s="8">
        <v>67</v>
      </c>
      <c r="D373" s="3" t="s">
        <v>67</v>
      </c>
      <c r="E373" s="1">
        <f t="shared" si="14"/>
        <v>5</v>
      </c>
      <c r="F373" s="1">
        <f t="shared" si="15"/>
        <v>67</v>
      </c>
    </row>
    <row r="374" spans="1:13">
      <c r="A374" s="13" t="s">
        <v>122</v>
      </c>
      <c r="B374" s="10">
        <v>1</v>
      </c>
      <c r="C374" s="8">
        <v>9</v>
      </c>
      <c r="D374" s="3" t="s">
        <v>89</v>
      </c>
      <c r="E374" s="1">
        <f t="shared" si="14"/>
        <v>4</v>
      </c>
      <c r="F374" s="1">
        <f t="shared" si="15"/>
        <v>36</v>
      </c>
    </row>
    <row r="375" spans="1:13">
      <c r="A375" s="13" t="s">
        <v>122</v>
      </c>
      <c r="B375" s="10">
        <v>1</v>
      </c>
      <c r="C375" s="8">
        <v>9</v>
      </c>
      <c r="D375" s="3" t="s">
        <v>89</v>
      </c>
      <c r="E375" s="1">
        <f t="shared" si="14"/>
        <v>3</v>
      </c>
      <c r="F375" s="1">
        <f t="shared" si="15"/>
        <v>27</v>
      </c>
    </row>
    <row r="376" spans="1:13">
      <c r="A376" s="13" t="s">
        <v>122</v>
      </c>
      <c r="B376" s="10">
        <v>2</v>
      </c>
      <c r="C376" s="8">
        <v>18</v>
      </c>
      <c r="D376" s="3" t="s">
        <v>89</v>
      </c>
      <c r="E376" s="1">
        <f t="shared" si="14"/>
        <v>2</v>
      </c>
      <c r="F376" s="1">
        <f t="shared" si="15"/>
        <v>18</v>
      </c>
    </row>
    <row r="377" spans="1:13">
      <c r="A377" s="13" t="s">
        <v>122</v>
      </c>
      <c r="B377" s="10">
        <v>1</v>
      </c>
      <c r="C377" s="8">
        <v>2.5499999999999998</v>
      </c>
      <c r="D377" s="3" t="s">
        <v>35</v>
      </c>
      <c r="E377" s="1">
        <f t="shared" si="14"/>
        <v>4</v>
      </c>
      <c r="F377" s="1">
        <f t="shared" si="15"/>
        <v>10.199999999999999</v>
      </c>
      <c r="L377">
        <v>14275.315999999999</v>
      </c>
      <c r="M377">
        <v>52122.704999999994</v>
      </c>
    </row>
    <row r="378" spans="1:13">
      <c r="A378" s="13" t="s">
        <v>122</v>
      </c>
      <c r="B378" s="10">
        <v>1</v>
      </c>
      <c r="C378" s="8">
        <v>2.5499999999999998</v>
      </c>
      <c r="D378" s="3" t="s">
        <v>35</v>
      </c>
      <c r="E378" s="1">
        <f t="shared" si="14"/>
        <v>3</v>
      </c>
      <c r="F378" s="1">
        <f t="shared" si="15"/>
        <v>7.6499999999999995</v>
      </c>
    </row>
    <row r="379" spans="1:13">
      <c r="A379" s="14" t="s">
        <v>122</v>
      </c>
      <c r="B379" s="10">
        <v>2</v>
      </c>
      <c r="C379" s="8">
        <v>5.0999999999999996</v>
      </c>
      <c r="D379" s="3" t="s">
        <v>35</v>
      </c>
      <c r="E379" s="1">
        <f t="shared" si="14"/>
        <v>2</v>
      </c>
      <c r="F379" s="1">
        <f t="shared" si="15"/>
        <v>5.0999999999999996</v>
      </c>
    </row>
    <row r="380" spans="1:13">
      <c r="B380">
        <f>SUBTOTAL(109,B1:B379)</f>
        <v>13025</v>
      </c>
      <c r="C380">
        <f>SUBTOTAL(109,C1:C379)</f>
        <v>53373.020999999986</v>
      </c>
      <c r="E380">
        <f ca="1">SUBTOTAL(109,E1:E379)</f>
        <v>20145</v>
      </c>
      <c r="F380">
        <f ca="1">SUBTOTAL(109,F1:F379)</f>
        <v>95799.97900000005</v>
      </c>
    </row>
    <row r="386" spans="4:4">
      <c r="D386" s="2">
        <f>SUBTOTAL(109,D1:D341)</f>
        <v>0</v>
      </c>
    </row>
  </sheetData>
  <autoFilter ref="A1:F379">
    <sortState ref="A2:F114">
      <sortCondition ref="D1"/>
    </sortState>
  </autoFilter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4"/>
  <sheetViews>
    <sheetView zoomScale="120" zoomScaleNormal="120" workbookViewId="0">
      <selection activeCell="B13" sqref="B13"/>
    </sheetView>
  </sheetViews>
  <sheetFormatPr baseColWidth="10" defaultRowHeight="15"/>
  <cols>
    <col min="1" max="1" width="6" style="35" customWidth="1"/>
    <col min="2" max="2" width="7" style="35" customWidth="1"/>
    <col min="3" max="3" width="7.5703125" style="35" customWidth="1"/>
    <col min="4" max="4" width="13.7109375" style="35" customWidth="1"/>
    <col min="5" max="5" width="7.7109375" style="35" customWidth="1"/>
  </cols>
  <sheetData>
    <row r="1" spans="1:5">
      <c r="A1" s="31" t="s">
        <v>1</v>
      </c>
      <c r="B1" s="32" t="s">
        <v>0</v>
      </c>
      <c r="C1" s="32" t="s">
        <v>2</v>
      </c>
      <c r="D1" s="31" t="s">
        <v>3</v>
      </c>
      <c r="E1" s="31" t="s">
        <v>124</v>
      </c>
    </row>
    <row r="2" spans="1:5" ht="26.25">
      <c r="A2" s="13" t="s">
        <v>16</v>
      </c>
      <c r="B2" s="33">
        <v>340</v>
      </c>
      <c r="C2" s="33">
        <v>2083.0230000000001</v>
      </c>
      <c r="D2" s="12" t="s">
        <v>8</v>
      </c>
      <c r="E2" s="34">
        <v>0</v>
      </c>
    </row>
    <row r="3" spans="1:5" ht="26.25">
      <c r="A3" s="13" t="s">
        <v>16</v>
      </c>
      <c r="B3" s="33">
        <v>367</v>
      </c>
      <c r="C3" s="33">
        <v>4583.18</v>
      </c>
      <c r="D3" s="12" t="s">
        <v>4</v>
      </c>
      <c r="E3" s="34">
        <v>0</v>
      </c>
    </row>
    <row r="4" spans="1:5" ht="39">
      <c r="A4" s="13" t="s">
        <v>16</v>
      </c>
      <c r="B4" s="33">
        <v>93</v>
      </c>
      <c r="C4" s="33">
        <v>544.13900000000001</v>
      </c>
      <c r="D4" s="12" t="s">
        <v>10</v>
      </c>
      <c r="E4" s="34">
        <v>0</v>
      </c>
    </row>
    <row r="5" spans="1:5" ht="26.25">
      <c r="A5" s="13" t="s">
        <v>16</v>
      </c>
      <c r="B5" s="33">
        <v>197</v>
      </c>
      <c r="C5" s="33">
        <v>2708.2080000000001</v>
      </c>
      <c r="D5" s="12" t="s">
        <v>7</v>
      </c>
      <c r="E5" s="34">
        <v>0</v>
      </c>
    </row>
    <row r="6" spans="1:5" ht="39">
      <c r="A6" s="13" t="s">
        <v>16</v>
      </c>
      <c r="B6" s="33">
        <v>246</v>
      </c>
      <c r="C6" s="33">
        <v>2425.2979999999998</v>
      </c>
      <c r="D6" s="12" t="s">
        <v>5</v>
      </c>
      <c r="E6" s="34">
        <v>0</v>
      </c>
    </row>
    <row r="7" spans="1:5" ht="26.25">
      <c r="A7" s="13" t="s">
        <v>16</v>
      </c>
      <c r="B7" s="33">
        <v>171</v>
      </c>
      <c r="C7" s="33">
        <v>1003.295</v>
      </c>
      <c r="D7" s="12" t="s">
        <v>12</v>
      </c>
      <c r="E7" s="34">
        <v>0</v>
      </c>
    </row>
    <row r="8" spans="1:5">
      <c r="A8" s="13" t="s">
        <v>16</v>
      </c>
      <c r="B8" s="33">
        <v>822</v>
      </c>
      <c r="C8" s="33">
        <v>5976.1639999999998</v>
      </c>
      <c r="D8" s="12" t="s">
        <v>9</v>
      </c>
      <c r="E8" s="34">
        <v>0</v>
      </c>
    </row>
    <row r="9" spans="1:5" ht="64.5">
      <c r="A9" s="13" t="s">
        <v>16</v>
      </c>
      <c r="B9" s="33">
        <v>32</v>
      </c>
      <c r="C9" s="33">
        <v>139.108</v>
      </c>
      <c r="D9" s="12" t="s">
        <v>15</v>
      </c>
      <c r="E9" s="34">
        <v>0</v>
      </c>
    </row>
    <row r="10" spans="1:5" ht="64.5">
      <c r="A10" s="13" t="s">
        <v>16</v>
      </c>
      <c r="B10" s="33">
        <v>52</v>
      </c>
      <c r="C10" s="33">
        <v>528.005</v>
      </c>
      <c r="D10" s="12" t="s">
        <v>6</v>
      </c>
      <c r="E10" s="34">
        <v>0</v>
      </c>
    </row>
    <row r="11" spans="1:5">
      <c r="A11" s="13" t="s">
        <v>16</v>
      </c>
      <c r="B11" s="33">
        <v>22</v>
      </c>
      <c r="C11" s="33">
        <v>228.8</v>
      </c>
      <c r="D11" s="12" t="s">
        <v>11</v>
      </c>
      <c r="E11" s="34">
        <v>0</v>
      </c>
    </row>
    <row r="12" spans="1:5" ht="26.25">
      <c r="A12" s="13" t="s">
        <v>16</v>
      </c>
      <c r="B12" s="33">
        <v>74</v>
      </c>
      <c r="C12" s="33">
        <v>300.29000000000002</v>
      </c>
      <c r="D12" s="12" t="s">
        <v>14</v>
      </c>
      <c r="E12" s="34">
        <v>0</v>
      </c>
    </row>
    <row r="13" spans="1:5" ht="26.25">
      <c r="A13" s="13" t="s">
        <v>16</v>
      </c>
      <c r="B13" s="33">
        <v>600</v>
      </c>
      <c r="C13" s="33">
        <v>3942.0649999999996</v>
      </c>
      <c r="D13" s="12" t="s">
        <v>13</v>
      </c>
      <c r="E13" s="34">
        <v>0</v>
      </c>
    </row>
    <row r="14" spans="1:5" ht="39">
      <c r="A14" s="13" t="s">
        <v>22</v>
      </c>
      <c r="B14" s="33">
        <v>87</v>
      </c>
      <c r="C14" s="33">
        <v>97.688999999999993</v>
      </c>
      <c r="D14" s="12" t="s">
        <v>21</v>
      </c>
      <c r="E14" s="34">
        <v>0</v>
      </c>
    </row>
    <row r="15" spans="1:5" ht="26.25">
      <c r="A15" s="13" t="s">
        <v>31</v>
      </c>
      <c r="B15" s="33">
        <v>142</v>
      </c>
      <c r="C15" s="33">
        <v>903.32799999999997</v>
      </c>
      <c r="D15" s="12" t="s">
        <v>30</v>
      </c>
      <c r="E15" s="34">
        <v>0</v>
      </c>
    </row>
    <row r="16" spans="1:5" ht="39">
      <c r="A16" s="13" t="s">
        <v>31</v>
      </c>
      <c r="B16" s="33">
        <v>99</v>
      </c>
      <c r="C16" s="33">
        <v>528.35599999999999</v>
      </c>
      <c r="D16" s="12" t="s">
        <v>29</v>
      </c>
      <c r="E16" s="34">
        <v>0</v>
      </c>
    </row>
    <row r="17" spans="1:5" ht="39">
      <c r="A17" s="13" t="s">
        <v>31</v>
      </c>
      <c r="B17" s="33">
        <v>47</v>
      </c>
      <c r="C17" s="33">
        <v>106.63200000000001</v>
      </c>
      <c r="D17" s="12" t="s">
        <v>28</v>
      </c>
      <c r="E17" s="34">
        <v>0</v>
      </c>
    </row>
    <row r="18" spans="1:5" ht="39">
      <c r="A18" s="13" t="s">
        <v>20</v>
      </c>
      <c r="B18" s="33">
        <v>946</v>
      </c>
      <c r="C18" s="33">
        <v>999.827</v>
      </c>
      <c r="D18" s="12" t="s">
        <v>17</v>
      </c>
      <c r="E18" s="34">
        <v>0</v>
      </c>
    </row>
    <row r="19" spans="1:5">
      <c r="A19" s="13" t="s">
        <v>20</v>
      </c>
      <c r="B19" s="33">
        <v>874</v>
      </c>
      <c r="C19" s="33">
        <v>1121.9010000000001</v>
      </c>
      <c r="D19" s="12" t="s">
        <v>18</v>
      </c>
      <c r="E19" s="34">
        <v>0</v>
      </c>
    </row>
    <row r="20" spans="1:5" ht="26.25">
      <c r="A20" s="13" t="s">
        <v>20</v>
      </c>
      <c r="B20" s="33">
        <v>276</v>
      </c>
      <c r="C20" s="33">
        <v>297.62599999999998</v>
      </c>
      <c r="D20" s="12" t="s">
        <v>19</v>
      </c>
      <c r="E20" s="34">
        <v>0</v>
      </c>
    </row>
    <row r="21" spans="1:5" ht="26.25">
      <c r="A21" s="13" t="s">
        <v>123</v>
      </c>
      <c r="B21" s="33">
        <v>1126</v>
      </c>
      <c r="C21" s="33">
        <v>6558.2260000000006</v>
      </c>
      <c r="D21" s="12" t="s">
        <v>25</v>
      </c>
      <c r="E21" s="34">
        <v>0</v>
      </c>
    </row>
    <row r="22" spans="1:5" ht="51.75">
      <c r="A22" s="13" t="s">
        <v>123</v>
      </c>
      <c r="B22" s="33">
        <v>41</v>
      </c>
      <c r="C22" s="33">
        <v>187.48099999999999</v>
      </c>
      <c r="D22" s="12" t="s">
        <v>27</v>
      </c>
      <c r="E22" s="34">
        <v>0</v>
      </c>
    </row>
    <row r="23" spans="1:5" ht="26.25">
      <c r="A23" s="13" t="s">
        <v>123</v>
      </c>
      <c r="B23" s="33">
        <v>500</v>
      </c>
      <c r="C23" s="33">
        <v>2511.0500000000002</v>
      </c>
      <c r="D23" s="12" t="s">
        <v>26</v>
      </c>
      <c r="E23" s="34">
        <v>0</v>
      </c>
    </row>
    <row r="24" spans="1:5" ht="39">
      <c r="A24" s="13" t="s">
        <v>24</v>
      </c>
      <c r="B24" s="33">
        <v>5012</v>
      </c>
      <c r="C24" s="33">
        <v>8276.5450000000001</v>
      </c>
      <c r="D24" s="12" t="s">
        <v>23</v>
      </c>
      <c r="E24" s="34">
        <v>0</v>
      </c>
    </row>
    <row r="25" spans="1:5" ht="90">
      <c r="A25" s="13" t="s">
        <v>122</v>
      </c>
      <c r="B25" s="33">
        <v>3</v>
      </c>
      <c r="C25" s="33">
        <v>63.2</v>
      </c>
      <c r="D25" s="12" t="s">
        <v>104</v>
      </c>
      <c r="E25" s="34">
        <v>0</v>
      </c>
    </row>
    <row r="26" spans="1:5" ht="26.25">
      <c r="A26" s="13" t="s">
        <v>122</v>
      </c>
      <c r="B26" s="33">
        <v>3</v>
      </c>
      <c r="C26" s="33">
        <v>33.040000000000006</v>
      </c>
      <c r="D26" s="12" t="s">
        <v>92</v>
      </c>
      <c r="E26" s="34">
        <v>0</v>
      </c>
    </row>
    <row r="27" spans="1:5" ht="90">
      <c r="A27" s="13" t="s">
        <v>122</v>
      </c>
      <c r="B27" s="33">
        <v>2</v>
      </c>
      <c r="C27" s="33">
        <v>3.99</v>
      </c>
      <c r="D27" s="12" t="s">
        <v>37</v>
      </c>
      <c r="E27" s="34">
        <v>0</v>
      </c>
    </row>
    <row r="28" spans="1:5" ht="90">
      <c r="A28" s="13" t="s">
        <v>122</v>
      </c>
      <c r="B28" s="33">
        <v>4</v>
      </c>
      <c r="C28" s="33">
        <v>7.98</v>
      </c>
      <c r="D28" s="12" t="s">
        <v>38</v>
      </c>
      <c r="E28" s="34">
        <v>0</v>
      </c>
    </row>
    <row r="29" spans="1:5" ht="26.25">
      <c r="A29" s="13" t="s">
        <v>122</v>
      </c>
      <c r="B29" s="33">
        <v>159</v>
      </c>
      <c r="C29" s="33">
        <v>271.77200000000005</v>
      </c>
      <c r="D29" s="12" t="s">
        <v>36</v>
      </c>
      <c r="E29" s="34">
        <v>0</v>
      </c>
    </row>
    <row r="30" spans="1:5" ht="26.25">
      <c r="A30" s="13" t="s">
        <v>122</v>
      </c>
      <c r="B30" s="33">
        <v>2</v>
      </c>
      <c r="C30" s="33">
        <v>29</v>
      </c>
      <c r="D30" s="12" t="s">
        <v>85</v>
      </c>
      <c r="E30" s="34">
        <v>0</v>
      </c>
    </row>
    <row r="31" spans="1:5" ht="77.25">
      <c r="A31" s="13" t="s">
        <v>122</v>
      </c>
      <c r="B31" s="33">
        <v>2</v>
      </c>
      <c r="C31" s="33">
        <v>17.29</v>
      </c>
      <c r="D31" s="12" t="s">
        <v>120</v>
      </c>
      <c r="E31" s="34">
        <v>0</v>
      </c>
    </row>
    <row r="32" spans="1:5" ht="77.25">
      <c r="A32" s="13" t="s">
        <v>122</v>
      </c>
      <c r="B32" s="33">
        <v>1</v>
      </c>
      <c r="C32" s="33">
        <v>8.69</v>
      </c>
      <c r="D32" s="12" t="s">
        <v>52</v>
      </c>
      <c r="E32" s="34">
        <v>0</v>
      </c>
    </row>
    <row r="33" spans="1:5" ht="26.25">
      <c r="A33" s="13" t="s">
        <v>122</v>
      </c>
      <c r="B33" s="33">
        <v>2</v>
      </c>
      <c r="C33" s="33">
        <v>30</v>
      </c>
      <c r="D33" s="12" t="s">
        <v>94</v>
      </c>
      <c r="E33" s="34">
        <v>0</v>
      </c>
    </row>
    <row r="34" spans="1:5" ht="39">
      <c r="A34" s="13" t="s">
        <v>122</v>
      </c>
      <c r="B34" s="33">
        <v>4</v>
      </c>
      <c r="C34" s="33">
        <v>35.200000000000003</v>
      </c>
      <c r="D34" s="12" t="s">
        <v>63</v>
      </c>
      <c r="E34" s="34">
        <v>0</v>
      </c>
    </row>
    <row r="35" spans="1:5" ht="26.25">
      <c r="A35" s="13" t="s">
        <v>122</v>
      </c>
      <c r="B35" s="33">
        <v>4</v>
      </c>
      <c r="C35" s="33">
        <v>60</v>
      </c>
      <c r="D35" s="12" t="s">
        <v>66</v>
      </c>
      <c r="E35" s="34">
        <v>0</v>
      </c>
    </row>
    <row r="36" spans="1:5" ht="26.25">
      <c r="A36" s="13" t="s">
        <v>122</v>
      </c>
      <c r="B36" s="33">
        <v>2</v>
      </c>
      <c r="C36" s="33">
        <v>30.2</v>
      </c>
      <c r="D36" s="12" t="s">
        <v>45</v>
      </c>
      <c r="E36" s="34">
        <v>0</v>
      </c>
    </row>
    <row r="37" spans="1:5" ht="26.25">
      <c r="A37" s="13" t="s">
        <v>122</v>
      </c>
      <c r="B37" s="33">
        <v>4</v>
      </c>
      <c r="C37" s="33">
        <v>41.6</v>
      </c>
      <c r="D37" s="12" t="s">
        <v>97</v>
      </c>
      <c r="E37" s="34">
        <v>0</v>
      </c>
    </row>
    <row r="38" spans="1:5">
      <c r="A38" s="13" t="s">
        <v>122</v>
      </c>
      <c r="B38" s="33">
        <v>9</v>
      </c>
      <c r="C38" s="33">
        <v>135.72</v>
      </c>
      <c r="D38" s="12" t="s">
        <v>102</v>
      </c>
      <c r="E38" s="34">
        <v>0</v>
      </c>
    </row>
    <row r="39" spans="1:5" ht="26.25">
      <c r="A39" s="13" t="s">
        <v>122</v>
      </c>
      <c r="B39" s="33">
        <v>3</v>
      </c>
      <c r="C39" s="33">
        <v>27</v>
      </c>
      <c r="D39" s="12" t="s">
        <v>91</v>
      </c>
      <c r="E39" s="34">
        <v>0</v>
      </c>
    </row>
    <row r="40" spans="1:5" ht="26.25">
      <c r="A40" s="13" t="s">
        <v>122</v>
      </c>
      <c r="B40" s="33">
        <v>2</v>
      </c>
      <c r="C40" s="33">
        <v>30</v>
      </c>
      <c r="D40" s="12" t="s">
        <v>49</v>
      </c>
      <c r="E40" s="34">
        <v>0</v>
      </c>
    </row>
    <row r="41" spans="1:5" ht="26.25">
      <c r="A41" s="13" t="s">
        <v>122</v>
      </c>
      <c r="B41" s="33">
        <v>2</v>
      </c>
      <c r="C41" s="33">
        <v>30</v>
      </c>
      <c r="D41" s="12" t="s">
        <v>69</v>
      </c>
      <c r="E41" s="34">
        <v>0</v>
      </c>
    </row>
    <row r="42" spans="1:5">
      <c r="A42" s="13" t="s">
        <v>122</v>
      </c>
      <c r="B42" s="33">
        <v>10</v>
      </c>
      <c r="C42" s="33">
        <v>145</v>
      </c>
      <c r="D42" s="12" t="s">
        <v>59</v>
      </c>
      <c r="E42" s="34">
        <v>0</v>
      </c>
    </row>
    <row r="43" spans="1:5" ht="51.75">
      <c r="A43" s="13" t="s">
        <v>122</v>
      </c>
      <c r="B43" s="33">
        <v>2</v>
      </c>
      <c r="C43" s="33">
        <v>13.6</v>
      </c>
      <c r="D43" s="12" t="s">
        <v>60</v>
      </c>
      <c r="E43" s="34">
        <v>0</v>
      </c>
    </row>
    <row r="44" spans="1:5" ht="51.75">
      <c r="A44" s="13" t="s">
        <v>122</v>
      </c>
      <c r="B44" s="33">
        <v>28</v>
      </c>
      <c r="C44" s="33">
        <v>407.93599999999992</v>
      </c>
      <c r="D44" s="12" t="s">
        <v>79</v>
      </c>
      <c r="E44" s="34">
        <v>0</v>
      </c>
    </row>
    <row r="45" spans="1:5" ht="51.75">
      <c r="A45" s="13" t="s">
        <v>122</v>
      </c>
      <c r="B45" s="33">
        <v>2</v>
      </c>
      <c r="C45" s="33">
        <v>33</v>
      </c>
      <c r="D45" s="12" t="s">
        <v>114</v>
      </c>
      <c r="E45" s="34">
        <v>0</v>
      </c>
    </row>
    <row r="46" spans="1:5" ht="64.5">
      <c r="A46" s="13" t="s">
        <v>122</v>
      </c>
      <c r="B46" s="33">
        <v>4</v>
      </c>
      <c r="C46" s="33">
        <v>48.066000000000003</v>
      </c>
      <c r="D46" s="12" t="s">
        <v>113</v>
      </c>
      <c r="E46" s="34">
        <v>0</v>
      </c>
    </row>
    <row r="47" spans="1:5" ht="26.25">
      <c r="A47" s="13" t="s">
        <v>122</v>
      </c>
      <c r="B47" s="33">
        <v>5</v>
      </c>
      <c r="C47" s="33">
        <v>68.2</v>
      </c>
      <c r="D47" s="12" t="s">
        <v>110</v>
      </c>
      <c r="E47" s="34">
        <v>0</v>
      </c>
    </row>
    <row r="48" spans="1:5" ht="51.75">
      <c r="A48" s="13" t="s">
        <v>122</v>
      </c>
      <c r="B48" s="33">
        <v>4</v>
      </c>
      <c r="C48" s="33">
        <v>72</v>
      </c>
      <c r="D48" s="12" t="s">
        <v>98</v>
      </c>
      <c r="E48" s="34">
        <v>0</v>
      </c>
    </row>
    <row r="49" spans="1:5" ht="26.25">
      <c r="A49" s="13" t="s">
        <v>122</v>
      </c>
      <c r="B49" s="33">
        <v>6</v>
      </c>
      <c r="C49" s="33">
        <v>63.998000000000005</v>
      </c>
      <c r="D49" s="12" t="s">
        <v>87</v>
      </c>
      <c r="E49" s="34">
        <v>0</v>
      </c>
    </row>
    <row r="50" spans="1:5" ht="26.25">
      <c r="A50" s="13" t="s">
        <v>122</v>
      </c>
      <c r="B50" s="33">
        <v>3</v>
      </c>
      <c r="C50" s="33">
        <v>47.6</v>
      </c>
      <c r="D50" s="12" t="s">
        <v>107</v>
      </c>
      <c r="E50" s="34">
        <v>0</v>
      </c>
    </row>
    <row r="51" spans="1:5" ht="64.5">
      <c r="A51" s="13" t="s">
        <v>122</v>
      </c>
      <c r="B51" s="33">
        <v>16</v>
      </c>
      <c r="C51" s="33">
        <v>230</v>
      </c>
      <c r="D51" s="12" t="s">
        <v>88</v>
      </c>
      <c r="E51" s="34">
        <v>0</v>
      </c>
    </row>
    <row r="52" spans="1:5" ht="51.75">
      <c r="A52" s="13" t="s">
        <v>122</v>
      </c>
      <c r="B52" s="33">
        <v>4</v>
      </c>
      <c r="C52" s="33">
        <v>50</v>
      </c>
      <c r="D52" s="12" t="s">
        <v>58</v>
      </c>
      <c r="E52" s="34">
        <v>0</v>
      </c>
    </row>
    <row r="53" spans="1:5" ht="39">
      <c r="A53" s="13" t="s">
        <v>122</v>
      </c>
      <c r="B53" s="33">
        <v>2</v>
      </c>
      <c r="C53" s="33">
        <v>30</v>
      </c>
      <c r="D53" s="12" t="s">
        <v>64</v>
      </c>
      <c r="E53" s="34">
        <v>0</v>
      </c>
    </row>
    <row r="54" spans="1:5" ht="39">
      <c r="A54" s="13" t="s">
        <v>122</v>
      </c>
      <c r="B54" s="33">
        <v>3</v>
      </c>
      <c r="C54" s="33">
        <v>82.8</v>
      </c>
      <c r="D54" s="12" t="s">
        <v>121</v>
      </c>
      <c r="E54" s="34">
        <v>0</v>
      </c>
    </row>
    <row r="55" spans="1:5" ht="51.75">
      <c r="A55" s="13" t="s">
        <v>122</v>
      </c>
      <c r="B55" s="33">
        <v>2</v>
      </c>
      <c r="C55" s="33">
        <v>17.600000000000001</v>
      </c>
      <c r="D55" s="12" t="s">
        <v>76</v>
      </c>
      <c r="E55" s="34">
        <v>0</v>
      </c>
    </row>
    <row r="56" spans="1:5" ht="64.5">
      <c r="A56" s="13" t="s">
        <v>122</v>
      </c>
      <c r="B56" s="33">
        <v>12</v>
      </c>
      <c r="C56" s="33">
        <v>192</v>
      </c>
      <c r="D56" s="12" t="s">
        <v>43</v>
      </c>
      <c r="E56" s="34">
        <v>0</v>
      </c>
    </row>
    <row r="57" spans="1:5" ht="26.25">
      <c r="A57" s="13" t="s">
        <v>122</v>
      </c>
      <c r="B57" s="33">
        <v>4</v>
      </c>
      <c r="C57" s="33">
        <v>31.2</v>
      </c>
      <c r="D57" s="12" t="s">
        <v>90</v>
      </c>
      <c r="E57" s="34">
        <v>0</v>
      </c>
    </row>
    <row r="58" spans="1:5" ht="26.25">
      <c r="A58" s="13" t="s">
        <v>122</v>
      </c>
      <c r="B58" s="33">
        <v>4</v>
      </c>
      <c r="C58" s="33">
        <v>60</v>
      </c>
      <c r="D58" s="12" t="s">
        <v>68</v>
      </c>
      <c r="E58" s="34">
        <v>0</v>
      </c>
    </row>
    <row r="59" spans="1:5" ht="26.25">
      <c r="A59" s="13" t="s">
        <v>122</v>
      </c>
      <c r="B59" s="33">
        <v>2</v>
      </c>
      <c r="C59" s="33">
        <v>18</v>
      </c>
      <c r="D59" s="12" t="s">
        <v>83</v>
      </c>
      <c r="E59" s="34">
        <v>0</v>
      </c>
    </row>
    <row r="60" spans="1:5" ht="26.25">
      <c r="A60" s="13" t="s">
        <v>122</v>
      </c>
      <c r="B60" s="33">
        <v>2</v>
      </c>
      <c r="C60" s="33">
        <v>34.1</v>
      </c>
      <c r="D60" s="12" t="s">
        <v>93</v>
      </c>
      <c r="E60" s="34">
        <v>0</v>
      </c>
    </row>
    <row r="61" spans="1:5" ht="26.25">
      <c r="A61" s="13" t="s">
        <v>122</v>
      </c>
      <c r="B61" s="33">
        <v>2</v>
      </c>
      <c r="C61" s="33">
        <v>30</v>
      </c>
      <c r="D61" s="12" t="s">
        <v>48</v>
      </c>
      <c r="E61" s="34">
        <v>0</v>
      </c>
    </row>
    <row r="62" spans="1:5" ht="51.75">
      <c r="A62" s="13" t="s">
        <v>122</v>
      </c>
      <c r="B62" s="33">
        <v>45</v>
      </c>
      <c r="C62" s="33">
        <v>53.612000000000002</v>
      </c>
      <c r="D62" s="12" t="s">
        <v>34</v>
      </c>
      <c r="E62" s="34">
        <v>0</v>
      </c>
    </row>
    <row r="63" spans="1:5" ht="51.75">
      <c r="A63" s="13" t="s">
        <v>122</v>
      </c>
      <c r="B63" s="33">
        <v>6</v>
      </c>
      <c r="C63" s="33">
        <v>100.08</v>
      </c>
      <c r="D63" s="12" t="s">
        <v>81</v>
      </c>
      <c r="E63" s="34">
        <v>0</v>
      </c>
    </row>
    <row r="64" spans="1:5" ht="26.25">
      <c r="A64" s="13" t="s">
        <v>122</v>
      </c>
      <c r="B64" s="33">
        <v>12</v>
      </c>
      <c r="C64" s="33">
        <v>175</v>
      </c>
      <c r="D64" s="12" t="s">
        <v>72</v>
      </c>
      <c r="E64" s="34">
        <v>0</v>
      </c>
    </row>
    <row r="65" spans="1:5" ht="39">
      <c r="A65" s="13" t="s">
        <v>122</v>
      </c>
      <c r="B65" s="33">
        <v>4</v>
      </c>
      <c r="C65" s="33">
        <v>56.64</v>
      </c>
      <c r="D65" s="12" t="s">
        <v>112</v>
      </c>
      <c r="E65" s="34">
        <v>0</v>
      </c>
    </row>
    <row r="66" spans="1:5" ht="26.25">
      <c r="A66" s="13" t="s">
        <v>122</v>
      </c>
      <c r="B66" s="33">
        <v>18</v>
      </c>
      <c r="C66" s="33">
        <v>274.72000000000003</v>
      </c>
      <c r="D66" s="12" t="s">
        <v>75</v>
      </c>
      <c r="E66" s="34">
        <v>0</v>
      </c>
    </row>
    <row r="67" spans="1:5" ht="26.25">
      <c r="A67" s="13" t="s">
        <v>122</v>
      </c>
      <c r="B67" s="33">
        <v>4</v>
      </c>
      <c r="C67" s="33">
        <v>53.2</v>
      </c>
      <c r="D67" s="12" t="s">
        <v>32</v>
      </c>
      <c r="E67" s="34">
        <v>0</v>
      </c>
    </row>
    <row r="68" spans="1:5" ht="51.75">
      <c r="A68" s="13" t="s">
        <v>122</v>
      </c>
      <c r="B68" s="33">
        <v>44</v>
      </c>
      <c r="C68" s="33">
        <v>0.20499999999999999</v>
      </c>
      <c r="D68" s="12" t="s">
        <v>95</v>
      </c>
      <c r="E68" s="34">
        <v>0</v>
      </c>
    </row>
    <row r="69" spans="1:5" ht="26.25">
      <c r="A69" s="13" t="s">
        <v>122</v>
      </c>
      <c r="B69" s="33">
        <v>6</v>
      </c>
      <c r="C69" s="33">
        <v>15.96</v>
      </c>
      <c r="D69" s="12" t="s">
        <v>57</v>
      </c>
      <c r="E69" s="34">
        <v>0</v>
      </c>
    </row>
    <row r="70" spans="1:5" ht="26.25">
      <c r="A70" s="13" t="s">
        <v>122</v>
      </c>
      <c r="B70" s="33">
        <v>2</v>
      </c>
      <c r="C70" s="33">
        <v>17.600000000000001</v>
      </c>
      <c r="D70" s="12" t="s">
        <v>56</v>
      </c>
      <c r="E70" s="34">
        <v>0</v>
      </c>
    </row>
    <row r="71" spans="1:5">
      <c r="A71" s="13" t="s">
        <v>122</v>
      </c>
      <c r="B71" s="33">
        <v>7</v>
      </c>
      <c r="C71" s="33">
        <v>81</v>
      </c>
      <c r="D71" s="12" t="s">
        <v>53</v>
      </c>
      <c r="E71" s="34">
        <v>0</v>
      </c>
    </row>
    <row r="72" spans="1:5" ht="77.25">
      <c r="A72" s="13" t="s">
        <v>122</v>
      </c>
      <c r="B72" s="33">
        <v>8</v>
      </c>
      <c r="C72" s="33">
        <v>120</v>
      </c>
      <c r="D72" s="12" t="s">
        <v>47</v>
      </c>
      <c r="E72" s="34">
        <v>0</v>
      </c>
    </row>
    <row r="73" spans="1:5" ht="77.25">
      <c r="A73" s="13" t="s">
        <v>122</v>
      </c>
      <c r="B73" s="33">
        <v>2</v>
      </c>
      <c r="C73" s="33">
        <v>17.600000000000001</v>
      </c>
      <c r="D73" s="12" t="s">
        <v>50</v>
      </c>
      <c r="E73" s="34">
        <v>0</v>
      </c>
    </row>
    <row r="74" spans="1:5" ht="64.5">
      <c r="A74" s="13" t="s">
        <v>122</v>
      </c>
      <c r="B74" s="33">
        <v>96</v>
      </c>
      <c r="C74" s="33">
        <v>136.60299999999998</v>
      </c>
      <c r="D74" s="12" t="s">
        <v>33</v>
      </c>
      <c r="E74" s="34">
        <v>0</v>
      </c>
    </row>
    <row r="75" spans="1:5" ht="77.25">
      <c r="A75" s="13" t="s">
        <v>122</v>
      </c>
      <c r="B75" s="33">
        <v>1</v>
      </c>
      <c r="C75" s="33">
        <v>25.8</v>
      </c>
      <c r="D75" s="12" t="s">
        <v>119</v>
      </c>
      <c r="E75" s="34">
        <v>0</v>
      </c>
    </row>
    <row r="76" spans="1:5" ht="77.25">
      <c r="A76" s="13" t="s">
        <v>122</v>
      </c>
      <c r="B76" s="33">
        <v>2</v>
      </c>
      <c r="C76" s="33">
        <v>25</v>
      </c>
      <c r="D76" s="12" t="s">
        <v>77</v>
      </c>
      <c r="E76" s="34">
        <v>0</v>
      </c>
    </row>
    <row r="77" spans="1:5" ht="64.5">
      <c r="A77" s="13" t="s">
        <v>122</v>
      </c>
      <c r="B77" s="33">
        <v>2</v>
      </c>
      <c r="C77" s="33">
        <v>66</v>
      </c>
      <c r="D77" s="12" t="s">
        <v>86</v>
      </c>
      <c r="E77" s="34">
        <v>0</v>
      </c>
    </row>
    <row r="78" spans="1:5" ht="26.25">
      <c r="A78" s="13" t="s">
        <v>122</v>
      </c>
      <c r="B78" s="33">
        <v>3</v>
      </c>
      <c r="C78" s="33">
        <v>62.05</v>
      </c>
      <c r="D78" s="12" t="s">
        <v>115</v>
      </c>
      <c r="E78" s="34">
        <v>0</v>
      </c>
    </row>
    <row r="79" spans="1:5" ht="77.25">
      <c r="A79" s="13" t="s">
        <v>122</v>
      </c>
      <c r="B79" s="33">
        <v>6</v>
      </c>
      <c r="C79" s="33">
        <v>72</v>
      </c>
      <c r="D79" s="12" t="s">
        <v>42</v>
      </c>
      <c r="E79" s="34">
        <v>0</v>
      </c>
    </row>
    <row r="80" spans="1:5" ht="51.75">
      <c r="A80" s="13" t="s">
        <v>122</v>
      </c>
      <c r="B80" s="33">
        <v>10</v>
      </c>
      <c r="C80" s="33">
        <v>70</v>
      </c>
      <c r="D80" s="12" t="s">
        <v>70</v>
      </c>
      <c r="E80" s="34">
        <v>0</v>
      </c>
    </row>
    <row r="81" spans="1:5" ht="26.25">
      <c r="A81" s="13" t="s">
        <v>122</v>
      </c>
      <c r="B81" s="33">
        <v>30</v>
      </c>
      <c r="C81" s="33">
        <v>129.74199999999999</v>
      </c>
      <c r="D81" s="12" t="s">
        <v>106</v>
      </c>
      <c r="E81" s="34">
        <v>0</v>
      </c>
    </row>
    <row r="82" spans="1:5" ht="39">
      <c r="A82" s="13" t="s">
        <v>122</v>
      </c>
      <c r="B82" s="33">
        <v>6</v>
      </c>
      <c r="C82" s="33">
        <v>82.800000000000011</v>
      </c>
      <c r="D82" s="12" t="s">
        <v>62</v>
      </c>
      <c r="E82" s="34">
        <v>0</v>
      </c>
    </row>
    <row r="83" spans="1:5" ht="39">
      <c r="A83" s="13" t="s">
        <v>122</v>
      </c>
      <c r="B83" s="33">
        <v>8</v>
      </c>
      <c r="C83" s="33">
        <v>121.41800000000001</v>
      </c>
      <c r="D83" s="12" t="s">
        <v>44</v>
      </c>
      <c r="E83" s="34">
        <v>0</v>
      </c>
    </row>
    <row r="84" spans="1:5" ht="39">
      <c r="A84" s="13" t="s">
        <v>122</v>
      </c>
      <c r="B84" s="33">
        <v>2</v>
      </c>
      <c r="C84" s="33">
        <v>2.8029999999999999</v>
      </c>
      <c r="D84" s="12" t="s">
        <v>96</v>
      </c>
      <c r="E84" s="34">
        <v>0</v>
      </c>
    </row>
    <row r="85" spans="1:5" ht="64.5">
      <c r="A85" s="13" t="s">
        <v>122</v>
      </c>
      <c r="B85" s="33">
        <v>2</v>
      </c>
      <c r="C85" s="33">
        <v>41.2</v>
      </c>
      <c r="D85" s="12" t="s">
        <v>108</v>
      </c>
      <c r="E85" s="34">
        <v>0</v>
      </c>
    </row>
    <row r="86" spans="1:5" ht="26.25">
      <c r="A86" s="13" t="s">
        <v>122</v>
      </c>
      <c r="B86" s="33">
        <v>14</v>
      </c>
      <c r="C86" s="33">
        <v>187</v>
      </c>
      <c r="D86" s="12" t="s">
        <v>41</v>
      </c>
      <c r="E86" s="34">
        <v>0</v>
      </c>
    </row>
    <row r="87" spans="1:5" ht="39">
      <c r="A87" s="13" t="s">
        <v>122</v>
      </c>
      <c r="B87" s="33">
        <v>3</v>
      </c>
      <c r="C87" s="33">
        <v>68</v>
      </c>
      <c r="D87" s="12" t="s">
        <v>117</v>
      </c>
      <c r="E87" s="34">
        <v>0</v>
      </c>
    </row>
    <row r="88" spans="1:5" ht="39">
      <c r="A88" s="13" t="s">
        <v>122</v>
      </c>
      <c r="B88" s="33">
        <v>5</v>
      </c>
      <c r="C88" s="33">
        <v>79.2</v>
      </c>
      <c r="D88" s="12" t="s">
        <v>105</v>
      </c>
      <c r="E88" s="34">
        <v>0</v>
      </c>
    </row>
    <row r="89" spans="1:5">
      <c r="A89" s="13" t="s">
        <v>122</v>
      </c>
      <c r="B89" s="33">
        <v>6</v>
      </c>
      <c r="C89" s="33">
        <v>90</v>
      </c>
      <c r="D89" s="12" t="s">
        <v>71</v>
      </c>
      <c r="E89" s="34">
        <v>0</v>
      </c>
    </row>
    <row r="90" spans="1:5" ht="26.25">
      <c r="A90" s="13" t="s">
        <v>122</v>
      </c>
      <c r="B90" s="33">
        <v>1</v>
      </c>
      <c r="C90" s="33">
        <v>8.1</v>
      </c>
      <c r="D90" s="12" t="s">
        <v>118</v>
      </c>
      <c r="E90" s="34">
        <v>0</v>
      </c>
    </row>
    <row r="91" spans="1:5" ht="51.75">
      <c r="A91" s="13" t="s">
        <v>122</v>
      </c>
      <c r="B91" s="33">
        <v>10</v>
      </c>
      <c r="C91" s="33">
        <v>180</v>
      </c>
      <c r="D91" s="12" t="s">
        <v>84</v>
      </c>
      <c r="E91" s="34">
        <v>0</v>
      </c>
    </row>
    <row r="92" spans="1:5" ht="77.25">
      <c r="A92" s="13" t="s">
        <v>122</v>
      </c>
      <c r="B92" s="33">
        <v>2</v>
      </c>
      <c r="C92" s="33">
        <v>45.74</v>
      </c>
      <c r="D92" s="12" t="s">
        <v>109</v>
      </c>
      <c r="E92" s="34">
        <v>0</v>
      </c>
    </row>
    <row r="93" spans="1:5" ht="26.25">
      <c r="A93" s="13" t="s">
        <v>122</v>
      </c>
      <c r="B93" s="33">
        <v>16</v>
      </c>
      <c r="C93" s="33">
        <v>207.52</v>
      </c>
      <c r="D93" s="12" t="s">
        <v>46</v>
      </c>
      <c r="E93" s="34">
        <v>0</v>
      </c>
    </row>
    <row r="94" spans="1:5" ht="26.25">
      <c r="A94" s="13" t="s">
        <v>122</v>
      </c>
      <c r="B94" s="33">
        <v>8</v>
      </c>
      <c r="C94" s="33">
        <v>144</v>
      </c>
      <c r="D94" s="12" t="s">
        <v>99</v>
      </c>
      <c r="E94" s="34">
        <v>0</v>
      </c>
    </row>
    <row r="95" spans="1:5" ht="64.5">
      <c r="A95" s="13" t="s">
        <v>122</v>
      </c>
      <c r="B95" s="33">
        <v>6</v>
      </c>
      <c r="C95" s="33">
        <v>96</v>
      </c>
      <c r="D95" s="12" t="s">
        <v>82</v>
      </c>
      <c r="E95" s="34">
        <v>0</v>
      </c>
    </row>
    <row r="96" spans="1:5" ht="51.75">
      <c r="A96" s="13" t="s">
        <v>122</v>
      </c>
      <c r="B96" s="33">
        <v>9</v>
      </c>
      <c r="C96" s="33">
        <v>92.6</v>
      </c>
      <c r="D96" s="12" t="s">
        <v>51</v>
      </c>
      <c r="E96" s="34">
        <v>0</v>
      </c>
    </row>
    <row r="97" spans="1:5" ht="26.25">
      <c r="A97" s="13" t="s">
        <v>122</v>
      </c>
      <c r="B97" s="33">
        <v>2</v>
      </c>
      <c r="C97" s="33">
        <v>50.4</v>
      </c>
      <c r="D97" s="12" t="s">
        <v>103</v>
      </c>
      <c r="E97" s="34">
        <v>0</v>
      </c>
    </row>
    <row r="98" spans="1:5" ht="26.25">
      <c r="A98" s="13" t="s">
        <v>122</v>
      </c>
      <c r="B98" s="33">
        <v>4</v>
      </c>
      <c r="C98" s="33">
        <v>75.8</v>
      </c>
      <c r="D98" s="12" t="s">
        <v>100</v>
      </c>
      <c r="E98" s="34">
        <v>0</v>
      </c>
    </row>
    <row r="99" spans="1:5" ht="39">
      <c r="A99" s="13" t="s">
        <v>122</v>
      </c>
      <c r="B99" s="33">
        <v>2</v>
      </c>
      <c r="C99" s="33">
        <v>3.99</v>
      </c>
      <c r="D99" s="12" t="s">
        <v>39</v>
      </c>
      <c r="E99" s="34">
        <v>0</v>
      </c>
    </row>
    <row r="100" spans="1:5" ht="39">
      <c r="A100" s="13" t="s">
        <v>122</v>
      </c>
      <c r="B100" s="33">
        <v>14</v>
      </c>
      <c r="C100" s="33">
        <v>200</v>
      </c>
      <c r="D100" s="12" t="s">
        <v>73</v>
      </c>
      <c r="E100" s="34">
        <v>0</v>
      </c>
    </row>
    <row r="101" spans="1:5" ht="90">
      <c r="A101" s="13" t="s">
        <v>122</v>
      </c>
      <c r="B101" s="33">
        <v>8</v>
      </c>
      <c r="C101" s="33">
        <v>120</v>
      </c>
      <c r="D101" s="12" t="s">
        <v>40</v>
      </c>
      <c r="E101" s="34">
        <v>0</v>
      </c>
    </row>
    <row r="102" spans="1:5" ht="26.25">
      <c r="A102" s="13" t="s">
        <v>122</v>
      </c>
      <c r="B102" s="33">
        <v>8</v>
      </c>
      <c r="C102" s="33">
        <v>131.91999999999999</v>
      </c>
      <c r="D102" s="12" t="s">
        <v>101</v>
      </c>
      <c r="E102" s="34">
        <v>0</v>
      </c>
    </row>
    <row r="103" spans="1:5" ht="39">
      <c r="A103" s="13" t="s">
        <v>122</v>
      </c>
      <c r="B103" s="33">
        <v>4</v>
      </c>
      <c r="C103" s="33">
        <v>64.2</v>
      </c>
      <c r="D103" s="12" t="s">
        <v>111</v>
      </c>
      <c r="E103" s="34">
        <v>0</v>
      </c>
    </row>
    <row r="104" spans="1:5" ht="26.25">
      <c r="A104" s="13" t="s">
        <v>122</v>
      </c>
      <c r="B104" s="33">
        <v>2</v>
      </c>
      <c r="C104" s="33">
        <v>18</v>
      </c>
      <c r="D104" s="12" t="s">
        <v>65</v>
      </c>
      <c r="E104" s="34">
        <v>0</v>
      </c>
    </row>
    <row r="105" spans="1:5" ht="39">
      <c r="A105" s="13" t="s">
        <v>122</v>
      </c>
      <c r="B105" s="33">
        <v>10</v>
      </c>
      <c r="C105" s="33">
        <v>150</v>
      </c>
      <c r="D105" s="12" t="s">
        <v>74</v>
      </c>
      <c r="E105" s="34">
        <v>0</v>
      </c>
    </row>
    <row r="106" spans="1:5" ht="26.25">
      <c r="A106" s="13" t="s">
        <v>122</v>
      </c>
      <c r="B106" s="33">
        <v>14</v>
      </c>
      <c r="C106" s="33">
        <v>207</v>
      </c>
      <c r="D106" s="12" t="s">
        <v>54</v>
      </c>
      <c r="E106" s="34">
        <v>0</v>
      </c>
    </row>
    <row r="107" spans="1:5" ht="51.75">
      <c r="A107" s="13" t="s">
        <v>122</v>
      </c>
      <c r="B107" s="33">
        <v>14</v>
      </c>
      <c r="C107" s="33">
        <v>197.42000000000002</v>
      </c>
      <c r="D107" s="12" t="s">
        <v>80</v>
      </c>
      <c r="E107" s="34">
        <v>0</v>
      </c>
    </row>
    <row r="108" spans="1:5" ht="64.5">
      <c r="A108" s="13" t="s">
        <v>122</v>
      </c>
      <c r="B108" s="33">
        <v>6</v>
      </c>
      <c r="C108" s="33">
        <v>90</v>
      </c>
      <c r="D108" s="12" t="s">
        <v>55</v>
      </c>
      <c r="E108" s="34">
        <v>0</v>
      </c>
    </row>
    <row r="109" spans="1:5" ht="77.25">
      <c r="A109" s="13" t="s">
        <v>122</v>
      </c>
      <c r="B109" s="33">
        <v>6</v>
      </c>
      <c r="C109" s="33">
        <v>55.5</v>
      </c>
      <c r="D109" s="12" t="s">
        <v>61</v>
      </c>
      <c r="E109" s="34">
        <v>0</v>
      </c>
    </row>
    <row r="110" spans="1:5" ht="90">
      <c r="A110" s="13" t="s">
        <v>122</v>
      </c>
      <c r="B110" s="33">
        <v>2</v>
      </c>
      <c r="C110" s="33">
        <v>56.46</v>
      </c>
      <c r="D110" s="12" t="s">
        <v>116</v>
      </c>
      <c r="E110" s="34">
        <v>0</v>
      </c>
    </row>
    <row r="111" spans="1:5" ht="77.25">
      <c r="A111" s="13" t="s">
        <v>122</v>
      </c>
      <c r="B111" s="33">
        <v>14</v>
      </c>
      <c r="C111" s="33">
        <v>192.92</v>
      </c>
      <c r="D111" s="12" t="s">
        <v>78</v>
      </c>
      <c r="E111" s="34">
        <v>0</v>
      </c>
    </row>
    <row r="112" spans="1:5" ht="26.25">
      <c r="A112" s="13" t="s">
        <v>122</v>
      </c>
      <c r="B112" s="33">
        <v>10</v>
      </c>
      <c r="C112" s="33">
        <v>134</v>
      </c>
      <c r="D112" s="12" t="s">
        <v>67</v>
      </c>
      <c r="E112" s="34">
        <v>0</v>
      </c>
    </row>
    <row r="113" spans="1:5" ht="26.25">
      <c r="A113" s="13" t="s">
        <v>122</v>
      </c>
      <c r="B113" s="33">
        <v>4</v>
      </c>
      <c r="C113" s="33">
        <v>36</v>
      </c>
      <c r="D113" s="12" t="s">
        <v>89</v>
      </c>
      <c r="E113" s="34">
        <v>0</v>
      </c>
    </row>
    <row r="114" spans="1:5" ht="26.25">
      <c r="A114" s="13" t="s">
        <v>122</v>
      </c>
      <c r="B114" s="33">
        <v>4</v>
      </c>
      <c r="C114" s="33">
        <v>10.199999999999999</v>
      </c>
      <c r="D114" s="12" t="s">
        <v>35</v>
      </c>
      <c r="E114" s="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BOOK</vt:lpstr>
      <vt:lpstr>BOOK (2)</vt:lpstr>
      <vt:lpstr>Feuil4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APCS 05</cp:lastModifiedBy>
  <dcterms:created xsi:type="dcterms:W3CDTF">2025-10-12T18:25:51Z</dcterms:created>
  <dcterms:modified xsi:type="dcterms:W3CDTF">2025-12-14T10:29:36Z</dcterms:modified>
</cp:coreProperties>
</file>